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040" windowHeight="9120" activeTab="4"/>
  </bookViews>
  <sheets>
    <sheet name="Read Me" sheetId="1" r:id="rId1"/>
    <sheet name="Test Scenarios" sheetId="2" r:id="rId2"/>
    <sheet name="RTM" sheetId="3" r:id="rId3"/>
    <sheet name="Login and Store Sync" sheetId="4" r:id="rId4"/>
    <sheet name="Product Management" sheetId="5" r:id="rId5"/>
    <sheet name="Customer Dashboard" sheetId="6" r:id="rId6"/>
    <sheet name="CommerceHub AI User Dashboard" sheetId="7" r:id="rId7"/>
    <sheet name="Customer Management" sheetId="8" r:id="rId8"/>
    <sheet name="Add New Customer" sheetId="9" r:id="rId9"/>
    <sheet name="Connected Stores" sheetId="10" r:id="rId10"/>
    <sheet name="Connect Store - Platform" sheetId="11" r:id="rId11"/>
    <sheet name="Connect Store - Details" sheetId="12" r:id="rId12"/>
    <sheet name="Connect Store - Verify" sheetId="13" r:id="rId13"/>
    <sheet name="Connect Store - Complete" sheetId="14" r:id="rId14"/>
    <sheet name="User Management" sheetId="15" r:id="rId15"/>
    <sheet name="Invite Team Member" sheetId="16" r:id="rId16"/>
    <sheet name="Industry Rules Configuration" sheetId="17" r:id="rId17"/>
    <sheet name="Create Industry Rule Template" sheetId="18" r:id="rId18"/>
    <sheet name="Billing &amp; Subscriptions" sheetId="19" r:id="rId19"/>
    <sheet name="Pricing Management" sheetId="20" r:id="rId20"/>
    <sheet name="Create New Price Rule" sheetId="21" r:id="rId21"/>
    <sheet name="Cart &amp; Checkout Configuration" sheetId="22" r:id="rId22"/>
    <sheet name="Payment Gateway Management" sheetId="23" r:id="rId23"/>
    <sheet name="Merchandising &amp; Discovery" sheetId="24" r:id="rId24"/>
    <sheet name="Rules Engine" sheetId="25" r:id="rId25"/>
    <sheet name="Create New Rule" sheetId="26" r:id="rId26"/>
    <sheet name="B2B Customer Management" sheetId="27" r:id="rId27"/>
    <sheet name="Add New Company" sheetId="28" r:id="rId28"/>
    <sheet name="Platform Configuration" sheetId="29" r:id="rId29"/>
    <sheet name="Customer E2E User Journey" sheetId="30" r:id="rId30"/>
    <sheet name="Admin E2E User Journey" sheetId="31" r:id="rId31"/>
  </sheets>
  <definedNames>
    <definedName name="_xlnm._FilterDatabase" localSheetId="3" hidden="1">'Login and Store Sync'!$A$1:$P$435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<sst xmlns="http://schemas.openxmlformats.org/spreadsheetml/2006/main" count="8789" uniqueCount="4401">
  <si>
    <t>CommerceHub AI — QA Traceability Workbook</t>
  </si>
  <si>
    <t>Test Scenarios | Requirement Traceability Matrix (RTM) | Test Cases — in one workbook</t>
  </si>
  <si>
    <t>How this workbook is organized</t>
  </si>
  <si>
    <t>1. Test Scenarios — high-level scenario per module/feature, derived from the underlying test cases. Use this for scope review with stakeholders/PM.</t>
  </si>
  <si>
    <t>2. RTM (Traceability Matrix) — maps each Requirement to its Scenario and to every Test Case ID that covers it, plus execution status roll-up.</t>
  </si>
  <si>
    <t>3. Test Cases — the detailed, step-level test cases (source: CommerceHub_TestCases.xlsx, "User Journey" tab), unchanged.</t>
  </si>
  <si>
    <t>Important assumption</t>
  </si>
  <si>
    <t>No separate Requirements/BRD document was supplied. Requirement IDs (REQ-001 ... REQ-018) were derived 1:1 from the existing "Test Module" grouping in your test case sheet, since each module represents a distinct product capability (Login UI, Customer Login, Store Onboarding, etc.). If you have a formal requirements/user-story list (Jira epics, BRD, Figma spec references), share it and the RTM can be re-keyed to your actual Requirement/Story IDs — the structure below will not need to change, only the ID mapping.</t>
  </si>
  <si>
    <t>How to keep this updated</t>
  </si>
  <si>
    <t>- Add new test cases only in the "Test Cases" sheet, using the existing ID pattern (e.g., TC_LOGIN_08).</t>
  </si>
  <si>
    <t>- Update the Module column on new rows to an existing module, or add a new module + corresponding row in RTM/Test Scenarios.</t>
  </si>
  <si>
    <t>- The "Executed / Not Executed" and "Pass / Fail" counts in RTM are formulas — they recalculate automatically once you fill the Result column in Test Cases.</t>
  </si>
  <si>
    <t>- Color legend: each Feature Area has a fixed color across all three sheets; Priority is color-coded High/Medium/Low.</t>
  </si>
  <si>
    <t>4. New pages added: Customer Management, Add New Customer, Connected Stores, and the 4-step Connect New Store wizard (Select Platform / Store Details / Verify Connection / Complete) — each on its own sheet (REQ-045 to REQ-051 / TS-045 to TS-051), following the same conventions as the existing sheets.</t>
  </si>
  <si>
    <t>Scenario ID</t>
  </si>
  <si>
    <t>Feature Area</t>
  </si>
  <si>
    <t>Module</t>
  </si>
  <si>
    <t>Scenario Description</t>
  </si>
  <si>
    <t>Test Type(s)</t>
  </si>
  <si>
    <t># Test Cases</t>
  </si>
  <si>
    <t>Priority</t>
  </si>
  <si>
    <t>Linked Req ID</t>
  </si>
  <si>
    <t>TS-001</t>
  </si>
  <si>
    <t>Authentication &amp; Access Management</t>
  </si>
  <si>
    <t>Login Page - UI</t>
  </si>
  <si>
    <t>Validate login page UI elements, default tab state, tab switching, password masking, and page responsiveness.</t>
  </si>
  <si>
    <t>Functional - Positive</t>
  </si>
  <si>
    <t>High</t>
  </si>
  <si>
    <t>TS-002</t>
  </si>
  <si>
    <t>Customer Login</t>
  </si>
  <si>
    <t>Validate Customer Login authentication flow: valid/invalid credentials, field validation, account lockout, SQLi/XSS handling, and session timeout.</t>
  </si>
  <si>
    <t>Functional - Positive, Functional - Negative, Functional - Negative / Security, Security - Negative</t>
  </si>
  <si>
    <t>TS-003</t>
  </si>
  <si>
    <t>CommerceHub AI User</t>
  </si>
  <si>
    <t>Validate CommerceHub AI User login flow including standard and SSO login, credential validation, tab isolation from Customer Login, and access removal.</t>
  </si>
  <si>
    <t>Functional - Positive, Functional - Negative</t>
  </si>
  <si>
    <t>TS-004</t>
  </si>
  <si>
    <t>Forgot Password</t>
  </si>
  <si>
    <t>Validate forgot password / reset-link flow for registered and unregistered emails, and reset-link expiry.</t>
  </si>
  <si>
    <t>TS-005</t>
  </si>
  <si>
    <t>Request Access</t>
  </si>
  <si>
    <t>Validate Request Access form submission, mandatory field validation, and admin approval/rejection workflow.</t>
  </si>
  <si>
    <t>Medium</t>
  </si>
  <si>
    <t>TS-006</t>
  </si>
  <si>
    <t>Store Onboarding &amp; Integration</t>
  </si>
  <si>
    <t>Store Onboarding</t>
  </si>
  <si>
    <t>Validate first-time vs. returning user onboarding flow, platform selection, step navigation, and skip option.</t>
  </si>
  <si>
    <t>TS-007</t>
  </si>
  <si>
    <t>Connect Store</t>
  </si>
  <si>
    <t>Validate store connection form field validation, credential masking, and connection success/failure handling.</t>
  </si>
  <si>
    <t>Functional - Negative, Functional - Positive</t>
  </si>
  <si>
    <t>TS-008</t>
  </si>
  <si>
    <t>Store Sync</t>
  </si>
  <si>
    <t>Validate store data sync status display, real-time progress, partial/full failure handling, and multi-store connection.</t>
  </si>
  <si>
    <t>TS-009</t>
  </si>
  <si>
    <t>Dashboard &amp; Reporting</t>
  </si>
  <si>
    <t>Dashboard</t>
  </si>
  <si>
    <t>Validate Dashboard KPI cards, charts, tables, navigation tabs, and empty-state handling post store connection.</t>
  </si>
  <si>
    <t>TS-010</t>
  </si>
  <si>
    <t>API Layer</t>
  </si>
  <si>
    <t>API - Authentication</t>
  </si>
  <si>
    <t>Validate authentication API endpoints for login, token issuance/refresh, rate limiting, and SSO callback exchange.</t>
  </si>
  <si>
    <t>API</t>
  </si>
  <si>
    <t>TS-011</t>
  </si>
  <si>
    <t>API - Store Connection</t>
  </si>
  <si>
    <t>Validate store connection API credential validation and error responses.</t>
  </si>
  <si>
    <t>TS-012</t>
  </si>
  <si>
    <t>API - Dashboard</t>
  </si>
  <si>
    <t>Validate Dashboard KPI API response accuracy.</t>
  </si>
  <si>
    <t>TS-013</t>
  </si>
  <si>
    <t>API - Sync</t>
  </si>
  <si>
    <t>Validate sync-status API real-time progress reporting.</t>
  </si>
  <si>
    <t>TS-014</t>
  </si>
  <si>
    <t>API - Security</t>
  </si>
  <si>
    <t>Validate API security controls: sensitive data exposure, HTTPS/TLS enforcement, auth-token checks, and input validation.</t>
  </si>
  <si>
    <t>Security - Negative</t>
  </si>
  <si>
    <t>TS-015</t>
  </si>
  <si>
    <t>Non-Functional - Performance</t>
  </si>
  <si>
    <t>Performance</t>
  </si>
  <si>
    <t>Validate system performance: page/API load times, concurrency handling, sync SLA, throughput, and memory stability.</t>
  </si>
  <si>
    <t>TS-016</t>
  </si>
  <si>
    <t>Non-Functional - Database</t>
  </si>
  <si>
    <t>Database</t>
  </si>
  <si>
    <t>Validate database-level data integrity, encryption at rest, audit logging, cascading deletes, and backup/restore.</t>
  </si>
  <si>
    <t>TS-017</t>
  </si>
  <si>
    <t>Login-Logout Journey</t>
  </si>
  <si>
    <t>Validate end-to-end user journeys from login (via SSO) through onboarding/store connection to Dashboard for new and returning users.</t>
  </si>
  <si>
    <t>TS-018</t>
  </si>
  <si>
    <t>Logout</t>
  </si>
  <si>
    <t>Validate logout functionality: session termination, cache/back-button behavior, multi-tab logout, and multi-session isolation.</t>
  </si>
  <si>
    <t>Functional - Positive, Security - Negative</t>
  </si>
  <si>
    <t>TS-019</t>
  </si>
  <si>
    <t>Customer Dashboard &amp; Reporting</t>
  </si>
  <si>
    <t>Add Multiple Stores</t>
  </si>
  <si>
    <t>Check that a user can add more than one store (BigCommerce, Shopify, Shopware), that totals update correctly, and that bad inputs, duplicates, and plan limits are handled properly.</t>
  </si>
  <si>
    <t>TS-020</t>
  </si>
  <si>
    <t>Company Overview - Tabs &amp; Store Switcher</t>
  </si>
  <si>
    <t>Validate the Company Overview page's tabs (Company Overview vs Store Analytics), All Stores/individual store switcher, and date-range selector, including consistent updates across the page.</t>
  </si>
  <si>
    <t>TS-021</t>
  </si>
  <si>
    <t>Company Overview - KPI Cards</t>
  </si>
  <si>
    <t>Validate the consolidated (all-store) KPI cards: exact sum/aggregate accuracy against per-store figures, growth-percentage calculation, behavior on store add/remove, and single-store edge case.</t>
  </si>
  <si>
    <t>TS-022</t>
  </si>
  <si>
    <t>Company Overview - Store Comparison</t>
  </si>
  <si>
    <t>Validate the Store Performance Comparison cards: per-store platform/name/status/revenue/orders/health-score accuracy, status badge states, Health Score calculation, View Details navigation, and reconciliation with consolidated KPIs.</t>
  </si>
  <si>
    <t>TS-023</t>
  </si>
  <si>
    <t>Company Overview - Revenue Trend &amp; Channel Split</t>
  </si>
  <si>
    <t>Validate the Consolidated Revenue Trend chart and Channel Distribution donut: Total-equals-sum-of-platforms integrity, legend toggling, percentage/total accuracy, and consistent updates on date-range change.</t>
  </si>
  <si>
    <t>TS-024</t>
  </si>
  <si>
    <t>Company Overview - Top Products (All Stores)</t>
  </si>
  <si>
    <t>Validate the cross-store Top Performing Products table: revenue-descending ranking across stores, correct Store attribution, trend styling (incl. negative trend), Units Sold accuracy, navigation, and refund exclusion.</t>
  </si>
  <si>
    <t>TS-025</t>
  </si>
  <si>
    <t>Company Overview - AI Insight</t>
  </si>
  <si>
    <t>Validate the cross-store AI Insight banner and Ask AI: accuracy of the underperforming-channel callout and savings estimate, recommendation traceability, cross-store query accuracy, and graceful single-store handling.</t>
  </si>
  <si>
    <t>TS-026</t>
  </si>
  <si>
    <t>Dashboard - Header &amp; Store Switcher</t>
  </si>
  <si>
    <t>Validate the Dashboard header: store switcher, logged-in user info, persistence of store context across navigation, and logo navigation.</t>
  </si>
  <si>
    <t>TS-027</t>
  </si>
  <si>
    <t>Dashboard - Notifications</t>
  </si>
  <si>
    <t>Validate the notification bell: unread badge accuracy, panel content/ordering, mark-as-read behavior, empty state, and sync-failure alerts.</t>
  </si>
  <si>
    <t>TS-028</t>
  </si>
  <si>
    <t>Dashboard - KPI Cards</t>
  </si>
  <si>
    <t>Validate the single-store KPI summary cards (Total Revenue, Total Orders, Active Products, Customer Count): value accuracy, growth-percentage calculation, positive/negative trend styling, zero-data handling, live updates, and currency formatting.</t>
  </si>
  <si>
    <t>TS-029</t>
  </si>
  <si>
    <t>Dashboard - Revenue Chart</t>
  </si>
  <si>
    <t>Validate the single-store Revenue Overview chart: 6-month data accuracy, tooltip values, date-range changes, empty state, and per-store correctness on switch.</t>
  </si>
  <si>
    <t>TS-030</t>
  </si>
  <si>
    <t>Dashboard - Top Selling Products</t>
  </si>
  <si>
    <t>Validate the single-store Top Selling Products panel: revenue-descending sort order, top-N limiting, navigation to product detail, tie-handling, and exclusion of refunded/cancelled revenue.</t>
  </si>
  <si>
    <t>TS-031</t>
  </si>
  <si>
    <t>Dashboard - Recent Orders</t>
  </si>
  <si>
    <t>Validate the Recent Orders table: column data accuracy (incl. customer email and per-order sync status), status/sync-status color-coding, View All navigation, live updates, empty state, amount accuracy, and platform-origin orders.</t>
  </si>
  <si>
    <t>Functional - Negative, Functional - Positive, Integration</t>
  </si>
  <si>
    <t>TS-032</t>
  </si>
  <si>
    <t>Dashboard - Store Health</t>
  </si>
  <si>
    <t>Validate the Store Health widget: Sync Status accuracy, Last Sync timestamp freshness, Uptime percentage calculation, disconnected-state handling, and per-store isolation.</t>
  </si>
  <si>
    <t>TS-033</t>
  </si>
  <si>
    <t>Dashboard - AI Insight &amp; Ask AI</t>
  </si>
  <si>
    <t>Validate the single-store AI Insight banner and Ask AI: data-driven insight accuracy, relevant recommendations, conversational query accuracy, graceful handling of insufficient data, and safeguards against unconfirmed destructive actions.</t>
  </si>
  <si>
    <t>Functional - Negative, Functional - Positive, Security - Negative</t>
  </si>
  <si>
    <t>TS-034</t>
  </si>
  <si>
    <t>Dashboard - Top Navigation</t>
  </si>
  <si>
    <t>Validate top navigation tabs: presence, correct routing for every module, active-tab highlighting, and handling of platform/plan-unsupported modules.</t>
  </si>
  <si>
    <t>TS-035</t>
  </si>
  <si>
    <t>Dashboard - Store Sync (BigCommerce/Shopify/Shopware)</t>
  </si>
  <si>
    <t>Validate Dashboard data consistency across BigCommerce, Shopify, and Shopware after sync: KPI accuracy per platform, in-progress-sync indication, no double-counting on re-sync, and platform-appropriate formatting.</t>
  </si>
  <si>
    <t>Functional - Negative, Integration</t>
  </si>
  <si>
    <t>TS-036</t>
  </si>
  <si>
    <t>Commerce Hub Admin - Dashboard &amp; Reporting</t>
  </si>
  <si>
    <t>Admin Dashboard - Header &amp; Menu</t>
  </si>
  <si>
    <t>Check the admin badge, top menu tabs, admin name/role, and that non-admins cannot open this dashboard.</t>
  </si>
  <si>
    <t>TS-037</t>
  </si>
  <si>
    <t>Admin Dashboard - KPI Cards</t>
  </si>
  <si>
    <t>Check that Total Customers, Connected Stores, Platform Users, Monthly Revenue, API Calls, and Uptime cards show correct numbers.</t>
  </si>
  <si>
    <t>TS-038</t>
  </si>
  <si>
    <t>Admin Dashboard - Store Add/Remove Updates</t>
  </si>
  <si>
    <t>Check that adding or removing a store by any customer is reflected correctly and quickly on this dashboard.</t>
  </si>
  <si>
    <t>TS-039</t>
  </si>
  <si>
    <t>Admin Dashboard - Revenue Trend Chart</t>
  </si>
  <si>
    <t>Check the 6-month revenue trend chart shows correct monthly values and tooltips.</t>
  </si>
  <si>
    <t>TS-040</t>
  </si>
  <si>
    <t>Admin Dashboard - Industry Distribution</t>
  </si>
  <si>
    <t>Check the industry split chart percentages are correct and update when customers are added.</t>
  </si>
  <si>
    <t>TS-041</t>
  </si>
  <si>
    <t>Admin Dashboard - Recent Customer Activity</t>
  </si>
  <si>
    <t>Check the customer activity list shows correct details, statuses, and links to full customer records.</t>
  </si>
  <si>
    <t>TS-042</t>
  </si>
  <si>
    <t>Admin Dashboard - Platform Health</t>
  </si>
  <si>
    <t>Check platform service status, API response time, and active session numbers are correct.</t>
  </si>
  <si>
    <t>TS-043</t>
  </si>
  <si>
    <t>Admin Dashboard - Billing Summary</t>
  </si>
  <si>
    <t>Check plan counts, prices, and total MRR are correct and update on plan changes.</t>
  </si>
  <si>
    <t>TS-044</t>
  </si>
  <si>
    <t>Admin Dashboard - Quick Actions &amp; Ask AI</t>
  </si>
  <si>
    <t>Check quick action buttons work, are admin-only, and Ask AI gives correct answers.</t>
  </si>
  <si>
    <t>TS-045</t>
  </si>
  <si>
    <t>Commerce Hub Admin - Customer &amp; Store Management</t>
  </si>
  <si>
    <t>Admin - Customer Management</t>
  </si>
  <si>
    <t>Validate the Customer Management list page: search, Industry/Plan/Status filters, status badges, customer detail panel, Add Customer navigation, and Platform Note editing.</t>
  </si>
  <si>
    <t>Functional - Positive, Functional - Negative, Security - Negative</t>
  </si>
  <si>
    <t>REQ-045</t>
  </si>
  <si>
    <t>TS-046</t>
  </si>
  <si>
    <t>Admin - Add New Customer</t>
  </si>
  <si>
    <t>Validate the Add New Customer onboarding page: AI-assisted auto-fill and undo, mandatory field validation, platform/plan selection, duplicate handling, and Save Draft / Cancel / Create Customer Account actions.</t>
  </si>
  <si>
    <t>REQ-046</t>
  </si>
  <si>
    <t>TS-047</t>
  </si>
  <si>
    <t>Admin - Connected Stores</t>
  </si>
  <si>
    <t>Validate the Connected Stores list page: platform summary cards, platform filters, sync status color-coding, reconciliation with per-store data, and navigation to Connect Store / store detail.</t>
  </si>
  <si>
    <t>REQ-047</t>
  </si>
  <si>
    <t>TS-048</t>
  </si>
  <si>
    <t>Admin - Connect Store - Select Platform</t>
  </si>
  <si>
    <t>Validate Step 1 of the Connect New Store wizard: platform card selection, stepper state, mandatory selection before proceeding, Cancel behaviour, and Ask AI.</t>
  </si>
  <si>
    <t>REQ-048</t>
  </si>
  <si>
    <t>TS-049</t>
  </si>
  <si>
    <t>Admin - Connect Store - Store Details</t>
  </si>
  <si>
    <t>Validate Step 2 of the Connect New Store wizard: Store Information and API Credential fields, mandatory/format validation, credential masking, Test API Connection, sync-setting toggles, and Back navigation.</t>
  </si>
  <si>
    <t>REQ-049</t>
  </si>
  <si>
    <t>TS-050</t>
  </si>
  <si>
    <t>Admin - Connect Store - Verify Connection</t>
  </si>
  <si>
    <t>Validate Step 3 of the Connect New Store wizard: automatic execution of the six connection checks, success/failure reporting per check, and gating of Complete Setup on full verification.</t>
  </si>
  <si>
    <t>REQ-050</t>
  </si>
  <si>
    <t>TS-051</t>
  </si>
  <si>
    <t>Admin - Connect Store - Complete</t>
  </si>
  <si>
    <t>Validate Step 4 of the Connect New Store wizard: connection summary accuracy, live sync progress, Connect Another Store / Go to Stores Dashboard actions, default industry rule application, and post-completion sync-failure handling.</t>
  </si>
  <si>
    <t>REQ-051</t>
  </si>
  <si>
    <t>TS-052</t>
  </si>
  <si>
    <t>Commerce Hub Admin - Product Catalog Management</t>
  </si>
  <si>
    <t>Admin - Product Management</t>
  </si>
  <si>
    <t>Validate the Product Management list page: search, status filters, badges, pagination, bulk actions, Export/Import, AI Smart Analysis, store switcher, and store-sync data integrity (no data loss, accurate attributes, no duplication on re-sync).</t>
  </si>
  <si>
    <t>Functional - Positive, Functional - Negative, Security - Negative, Performance</t>
  </si>
  <si>
    <t>REQ-052</t>
  </si>
  <si>
    <t>TS-053</t>
  </si>
  <si>
    <t>Admin - Add New Product</t>
  </si>
  <si>
    <t>Validate the Add New Product page: AI Product Builder auto-fill/save, mandatory and format validation, pricing/inventory/shipping/category fields, image upload, custom/meta fields, SEO settings and AI Assistant suggestions, and that a saved product is accurately reflected in Product Management.</t>
  </si>
  <si>
    <t>REQ-053</t>
  </si>
  <si>
    <t>TS-054</t>
  </si>
  <si>
    <t>Commerce Hub Admin - User &amp; Access Management</t>
  </si>
  <si>
    <t>Admin - User Management</t>
  </si>
  <si>
    <t>Validate the User Management list page: search, role filter, summary cards, role/status badges, row actions, Role Permissions reference panel, System Activity feed, and navigation to Invite Team Member.</t>
  </si>
  <si>
    <t>REQ-054</t>
  </si>
  <si>
    <t>TS-055</t>
  </si>
  <si>
    <t>Admin - Invite Team Member</t>
  </si>
  <si>
    <t>Validate the Invite Team Member page: AI-assisted setup and undo, mandatory/format validation, single-select Platform Role, role-driven Permissions Matrix, multi-select Assigned Customers, Notification Preferences, and Send Invitation / Save as Draft / Cancel actions.</t>
  </si>
  <si>
    <t>REQ-055</t>
  </si>
  <si>
    <t>TS-056</t>
  </si>
  <si>
    <t>Commerce Hub Admin - Industry Rules Management</t>
  </si>
  <si>
    <t>Admin - Industry Rules Configuration</t>
  </si>
  <si>
    <t>Validate the Industry Rules Configuration page: industry selection, scoped Rule Templates table, category/priority/status display, rule editing, Import Rules, the in-page Rule Template Builder panel, and adoption/usage statistics.</t>
  </si>
  <si>
    <t>REQ-056</t>
  </si>
  <si>
    <t>TS-057</t>
  </si>
  <si>
    <t>Admin - Create Industry Rule Template</t>
  </si>
  <si>
    <t>Validate the dedicated Create Industry Rule Template page: AI Rule Template Builder auto-fill/undo, Template Basics and Global Settings validation, the multi-block Rule Logic Builder, Applicable Store Platforms selection, and Save as Draft / Publish Template / Cancel actions.</t>
  </si>
  <si>
    <t>REQ-057</t>
  </si>
  <si>
    <t>TS-058</t>
  </si>
  <si>
    <t>Commerce Hub Admin - Billing &amp; Subscriptions</t>
  </si>
  <si>
    <t>Admin - Billing &amp; Subscriptions</t>
  </si>
  <si>
    <t>Validate the Billing &amp; Subscriptions page: KPI card accuracy and trend indicators, Subscription Distribution and Revenue by Industry reconciliation, Subscriber Details table (filter/export/status/actions), and the Upcoming Renewals workflow.</t>
  </si>
  <si>
    <t>REQ-058</t>
  </si>
  <si>
    <t>TS-059</t>
  </si>
  <si>
    <t>Commerce Hub Admin - Pricing Management</t>
  </si>
  <si>
    <t>Admin - Pricing Management</t>
  </si>
  <si>
    <t>Validate the Pricing Management page: summary cards, Pricing Rules table (type/status badges, filter, edit), AI Intelligence panel accuracy, Apply AI Adjustments, the AI Tip competitive-insight banner, and store switching.</t>
  </si>
  <si>
    <t>REQ-059</t>
  </si>
  <si>
    <t>TS-060</t>
  </si>
  <si>
    <t>Admin - Create New Price Rule</t>
  </si>
  <si>
    <t>Validate the Create New Price Rule page: AI Pricing Rule Builder auto-fill/impact analysis, Rule Details/Type validation, live Rule Preview and Affected Products, Conditions builder, Pricing Action and Quantity Range tiers, Schedule &amp; Limits, Similar Rules conflict detection, and Save Draft / Activate / Cancel.</t>
  </si>
  <si>
    <t>REQ-060</t>
  </si>
  <si>
    <t>TS-061</t>
  </si>
  <si>
    <t>Commerce Hub Admin - Cart &amp; Checkout Configuration</t>
  </si>
  <si>
    <t>Admin - Cart &amp; Checkout Configuration</t>
  </si>
  <si>
    <t>Validate the Cart &amp; Checkout Configuration page: Checkout Flow Builder toggles and active-flow diagram, Cart Settings toggles, Recent Orders, and the AI Customization assistant panel.</t>
  </si>
  <si>
    <t>REQ-061</t>
  </si>
  <si>
    <t>TS-062</t>
  </si>
  <si>
    <t>Commerce Hub Admin - Payment Gateway Management</t>
  </si>
  <si>
    <t>Admin - Payment Gateway Management</t>
  </si>
  <si>
    <t>Validate the Payment Gateway Management page: summary card reconciliation, Connected Gateways (Configure/Disconnect), Add Payment Gateway connections, the AI failed-transaction-rate recommendation, and the Transaction Log.</t>
  </si>
  <si>
    <t>REQ-062</t>
  </si>
  <si>
    <t>TS-063</t>
  </si>
  <si>
    <t>Commerce Hub Admin - Merchandising &amp; Discovery</t>
  </si>
  <si>
    <t>Admin - Merchandising &amp; Discovery</t>
  </si>
  <si>
    <t>Validate the Merchandising &amp; Discovery page: KPI cards, Product Recommendations toggles/editing, Search &amp; Discovery (Top Search Terms, Zero Result Searches with AI Fix), and Merchandising Zones management.</t>
  </si>
  <si>
    <t>REQ-063</t>
  </si>
  <si>
    <t>TS-064</t>
  </si>
  <si>
    <t>Commerce Hub Admin - Rules Engine</t>
  </si>
  <si>
    <t>Admin - Rules Engine</t>
  </si>
  <si>
    <t>Validate the Rules Engine page: summary cards, Business Rules table (category/priority/status), Filters, New Rule navigation, and the AI Rule Assistant's suggestion and conflict-resolution workflow.</t>
  </si>
  <si>
    <t>REQ-064</t>
  </si>
  <si>
    <t>TS-065</t>
  </si>
  <si>
    <t>Admin - Create New Rule</t>
  </si>
  <si>
    <t>Validate the Create New Rule page: AI Rule Builder auto-configuration and industry-template offer, Rule Type/Configuration/Conditions/Workflow Steps builders, Industry Templates, Test This Rule sandbox, Rules Summary impact, and Save Draft / Activate / Cancel.</t>
  </si>
  <si>
    <t>REQ-065</t>
  </si>
  <si>
    <t>TS-066</t>
  </si>
  <si>
    <t>Commerce Hub Admin - B2B Customer Management</t>
  </si>
  <si>
    <t>Admin - B2B Customer Management</t>
  </si>
  <si>
    <t>Validate the B2B Customer Management page: summary cards, search/filters, the company table (tier/status/credit), Account Hierarchy tree, Add Company navigation, and the AI credit-risk recommendation.</t>
  </si>
  <si>
    <t>REQ-066</t>
  </si>
  <si>
    <t>TS-067</t>
  </si>
  <si>
    <t>Admin - Add New Company</t>
  </si>
  <si>
    <t>Validate the Add New Company page: AI Company Setup auto-configuration (company, tier, team, price list, portal/invites), Company Information/Account Settings validation, Team Members &amp; Roles management, Buyer Portal Preview, Account Hierarchy linking, and Save Draft / Create / Cancel.</t>
  </si>
  <si>
    <t>REQ-067</t>
  </si>
  <si>
    <t>TS-068</t>
  </si>
  <si>
    <t>Commerce Hub Admin - Platform Configuration</t>
  </si>
  <si>
    <t>Admin - Platform Configuration</t>
  </si>
  <si>
    <t>Validate the Platform Configuration page: accordion sections (Store Settings, Site Management, Integration Settings, Security &amp; Access, Notifications, AI Settings), Store Settings field validation, and the AI Configuration Assistant's natural-language setup workflow.</t>
  </si>
  <si>
    <t>REQ-068</t>
  </si>
  <si>
    <t>TS-069</t>
  </si>
  <si>
    <t>Commerce Hub - End-to-End User Journeys</t>
  </si>
  <si>
    <t>Customer - End-to-End User Journey</t>
  </si>
  <si>
    <t>Validate the full Customer User Journey end-to-end (Authentication, Store Onboarding, Platform Configuration, Daily Operations, Growth &amp; Optimization) across both new-user and returning-user paths, and both existing-platform and new-platform onboarding branches.</t>
  </si>
  <si>
    <t>REQ-069</t>
  </si>
  <si>
    <t>TS-070</t>
  </si>
  <si>
    <t>Admin - End-to-End User Journey</t>
  </si>
  <si>
    <t>Validate the full Arizon Digital Admin User Journey end-to-end (Authentication, Platform Overview, Customer &amp; Store Management, User &amp; Access Management, Billing &amp; Growth) as one continuous flow and as independent phases.</t>
  </si>
  <si>
    <t>REQ-070</t>
  </si>
  <si>
    <t>Requirement ID</t>
  </si>
  <si>
    <t>Requirement / Module</t>
  </si>
  <si>
    <t>Test Case IDs (covering)</t>
  </si>
  <si>
    <t># Executed</t>
  </si>
  <si>
    <t># Passed</t>
  </si>
  <si>
    <t># Failed</t>
  </si>
  <si>
    <t># Not Executed</t>
  </si>
  <si>
    <t>Coverage %</t>
  </si>
  <si>
    <t>Execution Status</t>
  </si>
  <si>
    <t>REQ-001</t>
  </si>
  <si>
    <t>TC_LOGIN_01, TC_LOGIN_02, TC_LOGIN_03, TC_LOGIN_04, TC_LOGIN_05, TC_LOGIN_06, TC_LOGIN_07, TC_LOGIN_08</t>
  </si>
  <si>
    <t>REQ-002</t>
  </si>
  <si>
    <t>TC_CUST_01, TC_CUST_02, TC_CUST_03, TC_CUST_04, TC_CUST_05, TC_CUST_06, TC_CUST_07, TC_CUST_08, TC_CUST_09, TC_CUST_10, TC_CUST_11, TC_CUST_12, TC_CUST_13, TC_CUST_14, TC_CUST_15, TC_CUST_16, TC_CUST_17, TC_CUST_18, TC_CUST_19, TC_CUST_20, TC_CUST_21, TC_CUST_22, TC_CUST_23</t>
  </si>
  <si>
    <t>REQ-003</t>
  </si>
  <si>
    <t>TC_AIUSER_01, TC_AIUSER_02, TC_AIUSER_03, TC_AIUSER_04, TC_AIUSER_05, TC_AIUSER_06, TC_AIUSER_07, TC_AIUSER_08, TC_AIUSER_09, TC_AIUSER_10, TC_AIUSER_11, TC_AIUSER_12, TC_AIUSER_13, TC_AIUSER_14, TC_AIUSER_15, TC_AIUSER_16, TC_AIUSER_17, TC_AIUSER_18, TC_AIUSER_19, TC_AIUSER_20, TC_AIUSER_21, TC_AIUSER_22, TC_AIUSER_23</t>
  </si>
  <si>
    <t>REQ-004</t>
  </si>
  <si>
    <t>TC_FP_01, TC_FP_02, TC_FP_03, TC_FP_04, TC_FP_05</t>
  </si>
  <si>
    <t>REQ-005</t>
  </si>
  <si>
    <t>TC_RA_01, TC_RA_02, TC_RA_03, TC_RA_04, TC_RA_05</t>
  </si>
  <si>
    <t>REQ-006</t>
  </si>
  <si>
    <t>TC_ONB_01, TC_ONB_02, TC_ONB_03, TC_ONB_04, TC_ONB_05, TC_ONB_06, TC_ONB_07, TC_ONB_08</t>
  </si>
  <si>
    <t>REQ-007</t>
  </si>
  <si>
    <t>TC_CONN_01, TC_CONN_02, TC_CONN_03, TC_CONN_04, TC_CONN_05, TC_CONN_06, TC_CONN_07, TC_CONN_08</t>
  </si>
  <si>
    <t>REQ-008</t>
  </si>
  <si>
    <t>TC_SYNC_01, TC_SYNC_02, TC_SYNC_03, TC_SYNC_04, TC_SYNC_05, TC_SYNC_06</t>
  </si>
  <si>
    <t>REQ-009</t>
  </si>
  <si>
    <t>TC_DASH_01, TC_DASH_02, TC_DASH_03, TC_DASH_04, TC_DASH_05, TC_DASH_06, TC_DASH_07, TC_DASH_08</t>
  </si>
  <si>
    <t>REQ-010</t>
  </si>
  <si>
    <t>TC_API_01, TC_API_02, TC_API_03, TC_API_04, TC_API_05, TC_API_06</t>
  </si>
  <si>
    <t>REQ-011</t>
  </si>
  <si>
    <t>TC_API_07, TC_API_08</t>
  </si>
  <si>
    <t>REQ-012</t>
  </si>
  <si>
    <t>TC_API_09</t>
  </si>
  <si>
    <t>REQ-013</t>
  </si>
  <si>
    <t>TC_API_10</t>
  </si>
  <si>
    <t>REQ-014</t>
  </si>
  <si>
    <t>TC_API_11, TC_API_12, TC_API_13, TC_API_14</t>
  </si>
  <si>
    <t>REQ-015</t>
  </si>
  <si>
    <t>TC_PERF_01, TC_PERF_02, TC_PERF_03, TC_PERF_04, TC_PERF_05, TC_PERF_06, TC_PERF_07, TC_PERF_08</t>
  </si>
  <si>
    <t>REQ-016</t>
  </si>
  <si>
    <t>TC_DB_01, TC_DB_02, TC_DB_03, TC_DB_04, TC_DB_05, TC_DB_06, TC_DB_07, TC_DB_08</t>
  </si>
  <si>
    <t>REQ-017</t>
  </si>
  <si>
    <t>TC_JRNY_01, TC_JRNY_02, TC_JRNY_03, TC_JRNY_04, TC_JRNY_05, TC_JRNY_06</t>
  </si>
  <si>
    <t>REQ-018</t>
  </si>
  <si>
    <t>TC_LOGOUT_01, TC_LOGOUT_02, TC_LOGOUT_03, TC_LOGOUT_04, TC_LOGOUT_05, TC_LOGOUT_06, TC_LOGOUT_07, TC_LOGOUT_08, TC_LOGOUT_09</t>
  </si>
  <si>
    <t>REQ-019</t>
  </si>
  <si>
    <t>TC_ADDSTORE_01, TC_ADDSTORE_02, TC_ADDSTORE_03, TC_ADDSTORE_04, TC_ADDSTORE_05, TC_ADDSTORE_06, TC_ADDSTORE_07, TC_ADDSTORE_08, TC_ADDSTORE_09, TC_ADDSTORE_10, TC_ADDSTORE_11, TC_ADDSTORE_12</t>
  </si>
  <si>
    <t>REQ-020</t>
  </si>
  <si>
    <t>TC_OVTABS_01, TC_OVTABS_02, TC_OVTABS_03, TC_OVTABS_04, TC_OVTABS_05</t>
  </si>
  <si>
    <t>REQ-021</t>
  </si>
  <si>
    <t>TC_OVKPI_01, TC_OVKPI_02, TC_OVKPI_03, TC_OVKPI_04, TC_OVKPI_05</t>
  </si>
  <si>
    <t>REQ-022</t>
  </si>
  <si>
    <t>TC_STORECMP_01, TC_STORECMP_02, TC_STORECMP_03, TC_STORECMP_04, TC_STORECMP_05, TC_STORECMP_06</t>
  </si>
  <si>
    <t>REQ-023</t>
  </si>
  <si>
    <t>TC_REVTREND_01, TC_REVTREND_02, TC_REVTREND_03, TC_REVTREND_04, TC_REVTREND_05, TC_REVTREND_06</t>
  </si>
  <si>
    <t>REQ-024</t>
  </si>
  <si>
    <t>TC_TOPPRODALL_01, TC_TOPPRODALL_02, TC_TOPPRODALL_03, TC_TOPPRODALL_04, TC_TOPPRODALL_05, TC_TOPPRODALL_06</t>
  </si>
  <si>
    <t>REQ-025</t>
  </si>
  <si>
    <t>TC_OVAI_01, TC_OVAI_02, TC_OVAI_03, TC_OVAI_04</t>
  </si>
  <si>
    <t>REQ-026</t>
  </si>
  <si>
    <t>TC_HEADER_01, TC_HEADER_02, TC_HEADER_03, TC_HEADER_04</t>
  </si>
  <si>
    <t>REQ-027</t>
  </si>
  <si>
    <t>TC_NOTIF_01, TC_NOTIF_02, TC_NOTIF_03, TC_NOTIF_04, TC_NOTIF_05</t>
  </si>
  <si>
    <t>REQ-028</t>
  </si>
  <si>
    <t>TC_KPI_01, TC_KPI_02, TC_KPI_03, TC_KPI_04, TC_KPI_05, TC_KPI_06, TC_KPI_07</t>
  </si>
  <si>
    <t>REQ-029</t>
  </si>
  <si>
    <t>TC_CHART_01, TC_CHART_02, TC_CHART_03, TC_CHART_04, TC_CHART_05</t>
  </si>
  <si>
    <t>REQ-030</t>
  </si>
  <si>
    <t>TC_TOPPROD_01, TC_TOPPROD_02, TC_TOPPROD_03, TC_TOPPROD_04, TC_TOPPROD_05</t>
  </si>
  <si>
    <t>REQ-031</t>
  </si>
  <si>
    <t>TC_ORDERS_01, TC_ORDERS_02, TC_ORDERS_03, TC_ORDERS_04, TC_ORDERS_05, TC_ORDERS_06, TC_ORDERS_07, TC_ORDERS_08</t>
  </si>
  <si>
    <t>REQ-032</t>
  </si>
  <si>
    <t>TC_HEALTH_01, TC_HEALTH_02, TC_HEALTH_03, TC_HEALTH_04, TC_HEALTH_05</t>
  </si>
  <si>
    <t>REQ-033</t>
  </si>
  <si>
    <t>TC_AI_01, TC_AI_02, TC_AI_03, TC_AI_04, TC_AI_05</t>
  </si>
  <si>
    <t>REQ-034</t>
  </si>
  <si>
    <t>TC_NAV_01, TC_NAV_02</t>
  </si>
  <si>
    <t>REQ-035</t>
  </si>
  <si>
    <t>TC_DSYNC_01, TC_DSYNC_02, TC_DSYNC_03, TC_DSYNC_04, TC_DSYNC_05, TC_DSYNC_06</t>
  </si>
  <si>
    <t>REQ-036</t>
  </si>
  <si>
    <t>TC_ADM_HDR_01, TC_ADM_HDR_02, TC_ADM_HDR_03, TC_ADM_HDR_04</t>
  </si>
  <si>
    <t>REQ-037</t>
  </si>
  <si>
    <t>TC_ADM_KPI_01, TC_ADM_KPI_02, TC_ADM_KPI_03, TC_ADM_KPI_04, TC_ADM_KPI_05, TC_ADM_KPI_06, TC_ADM_KPI_07</t>
  </si>
  <si>
    <t>REQ-038</t>
  </si>
  <si>
    <t>TC_ADM_SYNC_01, TC_ADM_SYNC_02, TC_ADM_SYNC_03, TC_ADM_SYNC_04, TC_ADM_SYNC_05, TC_ADM_SYNC_06, TC_ADM_SYNC_07</t>
  </si>
  <si>
    <t>REQ-039</t>
  </si>
  <si>
    <t>TC_ADM_REV_01, TC_ADM_REV_02, TC_ADM_REV_03</t>
  </si>
  <si>
    <t>REQ-040</t>
  </si>
  <si>
    <t>TC_ADM_IND_01, TC_ADM_IND_02, TC_ADM_IND_03, TC_ADM_IND_04, TC_ADM_IND_05</t>
  </si>
  <si>
    <t>REQ-041</t>
  </si>
  <si>
    <t>TC_ADM_ACT_01, TC_ADM_ACT_02, TC_ADM_ACT_03, TC_ADM_ACT_04, TC_ADM_ACT_05</t>
  </si>
  <si>
    <t>REQ-042</t>
  </si>
  <si>
    <t>TC_ADM_HEALTH_01, TC_ADM_HEALTH_02, TC_ADM_HEALTH_03, TC_ADM_HEALTH_04</t>
  </si>
  <si>
    <t>REQ-043</t>
  </si>
  <si>
    <t>TC_ADM_BILL_01, TC_ADM_BILL_02, TC_ADM_BILL_03, TC_ADM_BILL_04</t>
  </si>
  <si>
    <t>REQ-044</t>
  </si>
  <si>
    <t>TC_ADM_QA_01, TC_ADM_QA_02, TC_ADM_QA_03, TC_ADM_QA_04, TC_ADM_QA_05</t>
  </si>
  <si>
    <t>TC_CUSTMGMT_01, TC_CUSTMGMT_02, TC_CUSTMGMT_03, TC_CUSTMGMT_04, TC_CUSTMGMT_05, TC_CUSTMGMT_06, TC_CUSTMGMT_07, TC_CUSTMGMT_08, TC_CUSTMGMT_09, TC_CUSTMGMT_10, TC_CUSTMGMT_11, TC_CUSTMGMT_12, TC_CUSTMGMT_13, TC_CUSTMGMT_14, TC_CUSTMGMT_15</t>
  </si>
  <si>
    <t>TC_ADDCUST_01, TC_ADDCUST_02, TC_ADDCUST_03, TC_ADDCUST_04, TC_ADDCUST_05, TC_ADDCUST_06, TC_ADDCUST_07, TC_ADDCUST_08, TC_ADDCUST_09, TC_ADDCUST_10, TC_ADDCUST_11, TC_ADDCUST_12, TC_ADDCUST_13, TC_ADDCUST_14, TC_ADDCUST_15</t>
  </si>
  <si>
    <t>TC_CONNSTORES_01, TC_CONNSTORES_02, TC_CONNSTORES_03, TC_CONNSTORES_04, TC_CONNSTORES_05, TC_CONNSTORES_06, TC_CONNSTORES_07, TC_CONNSTORES_08, TC_CONNSTORES_09, TC_CONNSTORES_10, TC_CONNSTORES_11, TC_CONNSTORES_12, TC_CONNSTORES_13</t>
  </si>
  <si>
    <t>TC_CSPLAT_01, TC_CSPLAT_02, TC_CSPLAT_03, TC_CSPLAT_04, TC_CSPLAT_05, TC_CSPLAT_06, TC_CSPLAT_07, TC_CSPLAT_08, TC_CSPLAT_09</t>
  </si>
  <si>
    <t>TC_CSDETAIL_01, TC_CSDETAIL_02, TC_CSDETAIL_03, TC_CSDETAIL_04, TC_CSDETAIL_05, TC_CSDETAIL_06, TC_CSDETAIL_07, TC_CSDETAIL_08, TC_CSDETAIL_09, TC_CSDETAIL_10, TC_CSDETAIL_11, TC_CSDETAIL_12, TC_CSDETAIL_13</t>
  </si>
  <si>
    <t>TC_CSVERIFY_01, TC_CSVERIFY_02, TC_CSVERIFY_03, TC_CSVERIFY_04, TC_CSVERIFY_05, TC_CSVERIFY_06, TC_CSVERIFY_07, TC_CSVERIFY_08</t>
  </si>
  <si>
    <t>TC_CSCOMPLETE_01, TC_CSCOMPLETE_02, TC_CSCOMPLETE_03, TC_CSCOMPLETE_04, TC_CSCOMPLETE_05, TC_CSCOMPLETE_06, TC_CSCOMPLETE_07, TC_CSCOMPLETE_08, TC_CSCOMPLETE_09, TC_CSCOMPLETE_10</t>
  </si>
  <si>
    <t>TC_PRODMGMT_01, TC_PRODMGMT_02, TC_PRODMGMT_03, TC_PRODMGMT_04, TC_PRODMGMT_05, TC_PRODMGMT_06, TC_PRODMGMT_07, TC_PRODMGMT_08, TC_PRODMGMT_09, TC_PRODMGMT_10, TC_PRODMGMT_11, TC_PRODMGMT_12, TC_PRODMGMT_13, TC_PRODMGMT_14, TC_PRODMGMT_15, TC_PRODMGMT_16, TC_PRODMGMT_17, TC_PRODMGMT_18, TC_PRODMGMT_19, TC_PRODMGMT_20, TC_PRODMGMT_21, TC_PRODMGMT_22, TC_PRODMGMT_23, TC_PRODMGMT_24, TC_PRODMGMT_25</t>
  </si>
  <si>
    <t>TC_ADDPROD_01, TC_ADDPROD_02, TC_ADDPROD_03, TC_ADDPROD_04, TC_ADDPROD_05, TC_ADDPROD_06, TC_ADDPROD_07, TC_ADDPROD_08, TC_ADDPROD_09, TC_ADDPROD_10, TC_ADDPROD_11, TC_ADDPROD_12, TC_ADDPROD_13, TC_ADDPROD_14, TC_ADDPROD_15, TC_ADDPROD_16, TC_ADDPROD_17, TC_ADDPROD_18, TC_ADDPROD_19, TC_ADDPROD_20, TC_ADDPROD_21, TC_ADDPROD_22, TC_ADDPROD_23, TC_ADDPROD_24, TC_ADDPROD_25, TC_ADDPROD_26, TC_ADDPROD_27</t>
  </si>
  <si>
    <t>TC_USERMGMT_01, TC_USERMGMT_02, TC_USERMGMT_03, TC_USERMGMT_04, TC_USERMGMT_05, TC_USERMGMT_06, TC_USERMGMT_07, TC_USERMGMT_08, TC_USERMGMT_09, TC_USERMGMT_10, TC_USERMGMT_11, TC_USERMGMT_12, TC_USERMGMT_13, TC_USERMGMT_14, TC_USERMGMT_15, TC_USERMGMT_16, TC_USERMGMT_17, TC_USERMGMT_18, TC_USERMGMT_19</t>
  </si>
  <si>
    <t>TC_INVITEUSER_01, TC_INVITEUSER_02, TC_INVITEUSER_03, TC_INVITEUSER_04, TC_INVITEUSER_05, TC_INVITEUSER_06, TC_INVITEUSER_07, TC_INVITEUSER_08, TC_INVITEUSER_09, TC_INVITEUSER_10, TC_INVITEUSER_11, TC_INVITEUSER_12, TC_INVITEUSER_13, TC_INVITEUSER_14, TC_INVITEUSER_15, TC_INVITEUSER_16, TC_INVITEUSER_17, TC_INVITEUSER_18, TC_INVITEUSER_19, TC_INVITEUSER_20</t>
  </si>
  <si>
    <t>TC_INDRULES_01, TC_INDRULES_02, TC_INDRULES_03, TC_INDRULES_04, TC_INDRULES_05, TC_INDRULES_06, TC_INDRULES_07, TC_INDRULES_08, TC_INDRULES_09, TC_INDRULES_10, TC_INDRULES_11, TC_INDRULES_12, TC_INDRULES_13, TC_INDRULES_14, TC_INDRULES_15, TC_INDRULES_16, TC_INDRULES_17, TC_INDRULES_18, TC_INDRULES_19, TC_INDRULES_20, TC_INDRULES_21</t>
  </si>
  <si>
    <t>TC_CREATERULE_01, TC_CREATERULE_02, TC_CREATERULE_03, TC_CREATERULE_04, TC_CREATERULE_05, TC_CREATERULE_06, TC_CREATERULE_07, TC_CREATERULE_08, TC_CREATERULE_09, TC_CREATERULE_10, TC_CREATERULE_11, TC_CREATERULE_12, TC_CREATERULE_13, TC_CREATERULE_14, TC_CREATERULE_15, TC_CREATERULE_16, TC_CREATERULE_17, TC_CREATERULE_18, TC_CREATERULE_19, TC_CREATERULE_20, TC_CREATERULE_21</t>
  </si>
  <si>
    <t>TC_BILLING_01, TC_BILLING_02, TC_BILLING_03, TC_BILLING_04, TC_BILLING_05, TC_BILLING_06, TC_BILLING_07, TC_BILLING_08, TC_BILLING_09, TC_BILLING_10, TC_BILLING_11, TC_BILLING_12, TC_BILLING_13, TC_BILLING_14, TC_BILLING_15, TC_BILLING_16, TC_BILLING_17, TC_BILLING_18</t>
  </si>
  <si>
    <t>TC_PRICEMGMT_01, TC_PRICEMGMT_02, TC_PRICEMGMT_03, TC_PRICEMGMT_04, TC_PRICEMGMT_05, TC_PRICEMGMT_06, TC_PRICEMGMT_07, TC_PRICEMGMT_08, TC_PRICEMGMT_09, TC_PRICEMGMT_10, TC_PRICEMGMT_11, TC_PRICEMGMT_12, TC_PRICEMGMT_13, TC_PRICEMGMT_14, TC_PRICEMGMT_15, TC_PRICEMGMT_16, TC_PRICEMGMT_17, TC_PRICEMGMT_18</t>
  </si>
  <si>
    <t>TC_ADDPRICERULE_01, TC_ADDPRICERULE_02, TC_ADDPRICERULE_03, TC_ADDPRICERULE_04, TC_ADDPRICERULE_05, TC_ADDPRICERULE_06, TC_ADDPRICERULE_07, TC_ADDPRICERULE_08, TC_ADDPRICERULE_09, TC_ADDPRICERULE_10, TC_ADDPRICERULE_11, TC_ADDPRICERULE_12, TC_ADDPRICERULE_13, TC_ADDPRICERULE_14, TC_ADDPRICERULE_15, TC_ADDPRICERULE_16, TC_ADDPRICERULE_17, TC_ADDPRICERULE_18, TC_ADDPRICERULE_19, TC_ADDPRICERULE_20, TC_ADDPRICERULE_21, TC_ADDPRICERULE_22, TC_ADDPRICERULE_23, TC_ADDPRICERULE_24, TC_ADDPRICERULE_25, TC_ADDPRICERULE_26, TC_ADDPRICERULE_27, TC_ADDPRICERULE_28</t>
  </si>
  <si>
    <t>TC_CARTCONFIG_01, TC_CARTCONFIG_02, TC_CARTCONFIG_03, TC_CARTCONFIG_04, TC_CARTCONFIG_05, TC_CARTCONFIG_06, TC_CARTCONFIG_07, TC_CARTCONFIG_08, TC_CARTCONFIG_09, TC_CARTCONFIG_10, TC_CARTCONFIG_11, TC_CARTCONFIG_12, TC_CARTCONFIG_13, TC_CARTCONFIG_14, TC_CARTCONFIG_15, TC_CARTCONFIG_16</t>
  </si>
  <si>
    <t>TC_PAYGATEWAY_01, TC_PAYGATEWAY_02, TC_PAYGATEWAY_03, TC_PAYGATEWAY_04, TC_PAYGATEWAY_05, TC_PAYGATEWAY_06, TC_PAYGATEWAY_07, TC_PAYGATEWAY_08, TC_PAYGATEWAY_09, TC_PAYGATEWAY_10, TC_PAYGATEWAY_11, TC_PAYGATEWAY_12, TC_PAYGATEWAY_13, TC_PAYGATEWAY_14, TC_PAYGATEWAY_15, TC_PAYGATEWAY_16</t>
  </si>
  <si>
    <t>TC_MERCH_01, TC_MERCH_02, TC_MERCH_03, TC_MERCH_04, TC_MERCH_05, TC_MERCH_06, TC_MERCH_07, TC_MERCH_08, TC_MERCH_09, TC_MERCH_10, TC_MERCH_11, TC_MERCH_12, TC_MERCH_13, TC_MERCH_14, TC_MERCH_15, TC_MERCH_16</t>
  </si>
  <si>
    <t>TC_RULESENGINE_01, TC_RULESENGINE_02, TC_RULESENGINE_03, TC_RULESENGINE_04, TC_RULESENGINE_05, TC_RULESENGINE_06, TC_RULESENGINE_07, TC_RULESENGINE_08, TC_RULESENGINE_09, TC_RULESENGINE_10, TC_RULESENGINE_11, TC_RULESENGINE_12, TC_RULESENGINE_13, TC_RULESENGINE_14, TC_RULESENGINE_15, TC_RULESENGINE_16, TC_RULESENGINE_17</t>
  </si>
  <si>
    <t>TC_NEWRULE_01, TC_NEWRULE_02, TC_NEWRULE_03, TC_NEWRULE_04, TC_NEWRULE_05, TC_NEWRULE_06, TC_NEWRULE_07, TC_NEWRULE_08, TC_NEWRULE_09, TC_NEWRULE_10, TC_NEWRULE_11, TC_NEWRULE_12, TC_NEWRULE_13, TC_NEWRULE_14, TC_NEWRULE_15, TC_NEWRULE_16, TC_NEWRULE_17, TC_NEWRULE_18, TC_NEWRULE_19, TC_NEWRULE_20, TC_NEWRULE_21, TC_NEWRULE_22, TC_NEWRULE_23</t>
  </si>
  <si>
    <t>TC_B2BMGMT_01, TC_B2BMGMT_02, TC_B2BMGMT_03, TC_B2BMGMT_04, TC_B2BMGMT_05, TC_B2BMGMT_06, TC_B2BMGMT_07, TC_B2BMGMT_08, TC_B2BMGMT_09, TC_B2BMGMT_10, TC_B2BMGMT_11, TC_B2BMGMT_12, TC_B2BMGMT_13, TC_B2BMGMT_14, TC_B2BMGMT_15, TC_B2BMGMT_16, TC_B2BMGMT_17, TC_B2BMGMT_18, TC_B2BMGMT_19, TC_B2BMGMT_20, TC_B2BMGMT_21</t>
  </si>
  <si>
    <t>TC_ADDCOMPANY_01, TC_ADDCOMPANY_02, TC_ADDCOMPANY_03, TC_ADDCOMPANY_04, TC_ADDCOMPANY_05, TC_ADDCOMPANY_06, TC_ADDCOMPANY_07, TC_ADDCOMPANY_08, TC_ADDCOMPANY_09, TC_ADDCOMPANY_10, TC_ADDCOMPANY_11, TC_ADDCOMPANY_12, TC_ADDCOMPANY_13, TC_ADDCOMPANY_14, TC_ADDCOMPANY_15, TC_ADDCOMPANY_16, TC_ADDCOMPANY_17, TC_ADDCOMPANY_18, TC_ADDCOMPANY_19, TC_ADDCOMPANY_20, TC_ADDCOMPANY_21, TC_ADDCOMPANY_22, TC_ADDCOMPANY_23, TC_ADDCOMPANY_24, TC_ADDCOMPANY_25, TC_ADDCOMPANY_26, TC_ADDCOMPANY_27</t>
  </si>
  <si>
    <t>TC_PLATFORMCONFIG_01, TC_PLATFORMCONFIG_02, TC_PLATFORMCONFIG_03, TC_PLATFORMCONFIG_04, TC_PLATFORMCONFIG_05, TC_PLATFORMCONFIG_06, TC_PLATFORMCONFIG_07, TC_PLATFORMCONFIG_08, TC_PLATFORMCONFIG_09, TC_PLATFORMCONFIG_10, TC_PLATFORMCONFIG_11, TC_PLATFORMCONFIG_12, TC_PLATFORMCONFIG_13, TC_PLATFORMCONFIG_14, TC_PLATFORMCONFIG_15, TC_PLATFORMCONFIG_16</t>
  </si>
  <si>
    <t>TC_E2E_CUST_01, TC_E2E_CUST_02, TC_E2E_CUST_03, TC_E2E_CUST_04, TC_E2E_CUST_05, TC_E2E_CUST_06</t>
  </si>
  <si>
    <t>TC_E2E_ADMIN_01, TC_E2E_ADMIN_02, TC_E2E_ADMIN_03, TC_E2E_ADMIN_04, TC_E2E_ADMIN_05, TC_E2E_ADMIN_06</t>
  </si>
  <si>
    <t>TOTAL</t>
  </si>
  <si>
    <t>Test Case ID</t>
  </si>
  <si>
    <t>Test Environment</t>
  </si>
  <si>
    <t>Test Module</t>
  </si>
  <si>
    <t>Test Summary</t>
  </si>
  <si>
    <t>Test Step / Action</t>
  </si>
  <si>
    <t>Test Data</t>
  </si>
  <si>
    <t>Test Type</t>
  </si>
  <si>
    <t>Expected Result</t>
  </si>
  <si>
    <t>Actual Result</t>
  </si>
  <si>
    <t>Test Priority</t>
  </si>
  <si>
    <t>Execution Date</t>
  </si>
  <si>
    <t>Result</t>
  </si>
  <si>
    <t>Start Time</t>
  </si>
  <si>
    <t>End Time</t>
  </si>
  <si>
    <t>Duration(s)</t>
  </si>
  <si>
    <t>TC_LOGIN_01</t>
  </si>
  <si>
    <t>QA / Staging</t>
  </si>
  <si>
    <t>Verify login page loads with default tab selected</t>
  </si>
  <si>
    <t>Ensure that user navigates to portal.commercehub.ai</t>
  </si>
  <si>
    <t>Login page loads with 'Customer Login' tab selected by default; heading reads 'Customer Login' with subtitle 'Access your personalized storefront intelligence.', email placeholder shows name@yourstore.com, Password field, 'Sign In' and 'Sign in with SSO' buttons, 'Remember me' checkbox and 'Forgot password?' link are all visible</t>
  </si>
  <si>
    <t>7/17/2026, 2:47:15 PM</t>
  </si>
  <si>
    <t>Pass</t>
  </si>
  <si>
    <t>0.08</t>
  </si>
  <si>
    <t>Open login URL</t>
  </si>
  <si>
    <t>Observe default active tab</t>
  </si>
  <si>
    <t>TC_LOGIN_02</t>
  </si>
  <si>
    <t>Verify tab switch from default 'Customer Login' tab to 'CommerceHub AI User' tab</t>
  </si>
  <si>
    <t>Open CommerHub AI Site</t>
  </si>
  <si>
    <t>N/A</t>
  </si>
  <si>
    <t>Heading changes to 'Welcome back' with subtitle 'Please enter your details to sign in.', email placeholder changes to name@company.com; both 'Sign In' and 'Sign in with SSO' buttons are shown (SSO is now available on this tab as well); switching back restores the default 'Customer Login' form (heading 'Customer Login', 'Sign in with SSO' button, name@yourstore.com placeholder)</t>
  </si>
  <si>
    <t>7/17/2026, 2:47:18 PM</t>
  </si>
  <si>
    <t>7/17/2026, 2:47:17 PM</t>
  </si>
  <si>
    <t>0.33</t>
  </si>
  <si>
    <t>Click 'CommerceHub AI User' tab</t>
  </si>
  <si>
    <t>Observe form fields and heading</t>
  </si>
  <si>
    <t>Click back to 'Customer Login' tab</t>
  </si>
  <si>
    <t>TC_LOGIN_03</t>
  </si>
  <si>
    <t>Verify password field masks input by default</t>
  </si>
  <si>
    <t>Password: Test@1234</t>
  </si>
  <si>
    <t>Entered characters are masked (dots) by default</t>
  </si>
  <si>
    <t>7/17/2026, 2:47:19 PM</t>
  </si>
  <si>
    <t>Click into Password field</t>
  </si>
  <si>
    <t>Type a password</t>
  </si>
  <si>
    <t>TC_LOGIN_04</t>
  </si>
  <si>
    <t>Verify show/hide password (eye icon) toggle</t>
  </si>
  <si>
    <t>Password field has text entered</t>
  </si>
  <si>
    <t>First click reveals password in plain text, second click re-masks it</t>
  </si>
  <si>
    <t>Low</t>
  </si>
  <si>
    <t>7/17/2026, 2:47:21 PM</t>
  </si>
  <si>
    <t>0.34</t>
  </si>
  <si>
    <t>Enter password</t>
  </si>
  <si>
    <t>Click the eye icon</t>
  </si>
  <si>
    <t>Click eye icon again</t>
  </si>
  <si>
    <t>TC_LOGIN_05</t>
  </si>
  <si>
    <t>Verify 'Remember me' checkbox can be toggled</t>
  </si>
  <si>
    <t>Checkbox toggles between checked and unchecked states correctly</t>
  </si>
  <si>
    <t>7/17/2026, 2:47:23 PM</t>
  </si>
  <si>
    <t>7/17/2026, 2:47:22 PM</t>
  </si>
  <si>
    <t>0.47</t>
  </si>
  <si>
    <t>Click 'Remember me' checkbox</t>
  </si>
  <si>
    <t>Observe checked state</t>
  </si>
  <si>
    <t>Click again to uncheck</t>
  </si>
  <si>
    <t>TC_LOGIN_06</t>
  </si>
  <si>
    <t>Verify page is responsive across devices</t>
  </si>
  <si>
    <t>Layout adjusts responsively; left branding panel collapses/stacks on mobile; all fields and buttons remain accessible and usable</t>
  </si>
  <si>
    <t>Open login page on Desktop (1920x1080)</t>
  </si>
  <si>
    <t>TC_LOGIN_07</t>
  </si>
  <si>
    <t>Verify footer copyright text displays correctly</t>
  </si>
  <si>
    <t>Footer displays '© 2025 CommerceHub AI. All rights reserved.'</t>
  </si>
  <si>
    <t>Scroll to bottom of login form panel</t>
  </si>
  <si>
    <t>TC_LOGIN_08</t>
  </si>
  <si>
    <t>Verify 'Sign in with SSO' button is present on both CommerceHub AI User and Customer Login tabs</t>
  </si>
  <si>
    <t>Login page is open</t>
  </si>
  <si>
    <t>'Sign in with SSO' button is visible and functional on both tabs, confirming SSO is now supported for both CommerceHub AI User and Customer Login</t>
  </si>
  <si>
    <t>Select the 'CommerceHub AI User' tab and observe available buttons</t>
  </si>
  <si>
    <t>Select the 'Customer Login' tab and observe available buttons</t>
  </si>
  <si>
    <t>TC_AIUSER_01</t>
  </si>
  <si>
    <t>Verify CommerceHub AI User tab displays correct heading, subtitle and placeholder</t>
  </si>
  <si>
    <t>Heading 'Welcome back', subtitle 'Please enter your details to sign in.' and placeholder 'name@company.com' are displayed correctly on the CommerceHub AI User tab</t>
  </si>
  <si>
    <t>Select the 'CommerceHub AI User' tab</t>
  </si>
  <si>
    <t>TC_AIUSER_02</t>
  </si>
  <si>
    <t>Verify successful login with valid registered email and correct password</t>
  </si>
  <si>
    <t>'CommerceHub AI User' tab is selected; user has a valid active account</t>
  </si>
  <si>
    <t>kathir@arizon.digital, password</t>
  </si>
  <si>
    <t>User is authenticated successfully and redirected to the CommerceHub AI Admin/Platform dashboard where they can connect and manage existing platform integrations</t>
  </si>
  <si>
    <t>7/17/2026, 2:47:25 PM</t>
  </si>
  <si>
    <t>7/17/2026, 2:47:24 PM</t>
  </si>
  <si>
    <t>0.55</t>
  </si>
  <si>
    <t>Enter a valid registered email and correct password</t>
  </si>
  <si>
    <t>Click 'Sign In'</t>
  </si>
  <si>
    <t>TC_AIUSER_03</t>
  </si>
  <si>
    <t>Verify login with 'Remember me' checked persists session across browser restarts</t>
  </si>
  <si>
    <t>'CommerceHub AI User' tab is selected; user has valid credentials</t>
  </si>
  <si>
    <t>User remains logged in / session persists without re-entering credentials, until the Remember-me token expires</t>
  </si>
  <si>
    <t>7/17/2026, 2:47:30 PM</t>
  </si>
  <si>
    <t>7/17/2026, 2:47:26 PM</t>
  </si>
  <si>
    <t>3.80</t>
  </si>
  <si>
    <t>Check 'Remember me'</t>
  </si>
  <si>
    <t>Enter valid credentials and sign in</t>
  </si>
  <si>
    <t>Close and reopen the browser</t>
  </si>
  <si>
    <t>TC_AIUSER_04</t>
  </si>
  <si>
    <t>Verify login fails with incorrect password</t>
  </si>
  <si>
    <t>'CommerceHub AI User' tab is selected; user has a valid account</t>
  </si>
  <si>
    <t>kathir@arizon.digital, password123</t>
  </si>
  <si>
    <t>Functional - Negative</t>
  </si>
  <si>
    <t>Login rejected; a generic error message such as 'Invalid email or password' is shown; no indication of which field is wrong</t>
  </si>
  <si>
    <t>7/17/2026, 2:47:33 PM</t>
  </si>
  <si>
    <t>7/17/2026, 2:47:32 PM</t>
  </si>
  <si>
    <t>1.34</t>
  </si>
  <si>
    <t>Enter the correct email with an incorrect password</t>
  </si>
  <si>
    <t>TC_AIUSER_05</t>
  </si>
  <si>
    <t>Verify login fails with unregistered/non-existent email</t>
  </si>
  <si>
    <t>'CommerceHub AI User' tab is selected</t>
  </si>
  <si>
    <t>Email: notexist@nowhere.com / Password: Any@123</t>
  </si>
  <si>
    <t>Generic 'Invalid email or password' error shown (system does not reveal whether the email exists)</t>
  </si>
  <si>
    <t>Enter an email that is not registered</t>
  </si>
  <si>
    <t>Enter any password</t>
  </si>
  <si>
    <t>TC_AIUSER_06</t>
  </si>
  <si>
    <t>Verify validation error for invalid email format</t>
  </si>
  <si>
    <t>abc@, abc, abc@gmail, @gmail.co, @gmail, abc@.com, abc@domain, abc@domain..com, abc@domain,com, abc@domain com, abc@-domain.com, abc@domain.c, abc@domain..co.in, abc@domain@domain.com, abc@domain#mail.com, abc@domain mail.com, abc@domain.., abc@.domain.com, abc@domain..co, abc@domain..org, password</t>
  </si>
  <si>
    <t>Inline validation error 'Please enter a valid email address' displayed; form is not submitted</t>
  </si>
  <si>
    <t>7/17/2026, 2:47:48 PM</t>
  </si>
  <si>
    <t>7/17/2026, 2:47:34 PM</t>
  </si>
  <si>
    <t>13.90</t>
  </si>
  <si>
    <t>Enter an improperly formatted email, e.g. 'abc@'</t>
  </si>
  <si>
    <t>TC_AIUSER_07</t>
  </si>
  <si>
    <t>Verify mandatory field validation when Email is left blank</t>
  </si>
  <si>
    <t>password</t>
  </si>
  <si>
    <t>'Email is required' validation message shown; form not submitted</t>
  </si>
  <si>
    <t>7/16/2026, 3:49:01 PM</t>
  </si>
  <si>
    <t>0.21</t>
  </si>
  <si>
    <t>Leave Email blank</t>
  </si>
  <si>
    <t>Enter a password</t>
  </si>
  <si>
    <t>TC_AIUSER_08</t>
  </si>
  <si>
    <t>Verify mandatory field validation when Password is left blank</t>
  </si>
  <si>
    <t>Email: admin@arizondigital.com</t>
  </si>
  <si>
    <t>'Password is required' validation message shown; form not submitted</t>
  </si>
  <si>
    <t>Enter a valid email</t>
  </si>
  <si>
    <t>Leave Password blank</t>
  </si>
  <si>
    <t>TC_AIUSER_09</t>
  </si>
  <si>
    <t>Verify both fields blank shows both validation errors</t>
  </si>
  <si>
    <t>Both 'Email is required' and 'Password is required' messages displayed simultaneously</t>
  </si>
  <si>
    <t>Leave Email and Password blank</t>
  </si>
  <si>
    <t>TC_AIUSER_10</t>
  </si>
  <si>
    <t>Verify account lockout after multiple consecutive failed login attempts</t>
  </si>
  <si>
    <t>Email: admin@arizondigital.com / Password: wrong x5</t>
  </si>
  <si>
    <t>Functional - Negative / Security</t>
  </si>
  <si>
    <t>Account is temporarily locked after the threshold (e.g. 5 attempts); user is shown a lockout message with a retry-after time; the correct password is also rejected until the lockout expires</t>
  </si>
  <si>
    <t>Enter the correct email with an incorrect password 5 times in a row</t>
  </si>
  <si>
    <t>TC_AIUSER_11</t>
  </si>
  <si>
    <t>Verify login attempt for a suspended/disabled account is blocked</t>
  </si>
  <si>
    <t>'CommerceHub AI User' tab is selected; an account exists in 'Suspended' state</t>
  </si>
  <si>
    <t>Email: suspended.user@arizondigital.com</t>
  </si>
  <si>
    <t>Login is blocked with a message indicating the account is suspended/inactive; user is not authenticated</t>
  </si>
  <si>
    <t>Enter the suspended account's credentials</t>
  </si>
  <si>
    <t>TC_AIUSER_12</t>
  </si>
  <si>
    <t>Verify SQL Injection payload in Email/Password fields is safely handled</t>
  </si>
  <si>
    <t>OR '1'='1, ' OR '1'='1' --, ' OR 'x'='x, anything, ' OR ''='</t>
  </si>
  <si>
    <t>Login fails safely with a generic invalid-credentials error; no SQL error is exposed; no unauthorized access is granted; input is sanitized/parameterized on the backend</t>
  </si>
  <si>
    <t>7/17/2026, 2:47:53 PM</t>
  </si>
  <si>
    <t>7/17/2026, 2:47:50 PM</t>
  </si>
  <si>
    <t>2.82</t>
  </si>
  <si>
    <t>Enter " ' OR '1'='1 " in the Email field</t>
  </si>
  <si>
    <t>Enter any value in Password</t>
  </si>
  <si>
    <t>TC_AIUSER_13</t>
  </si>
  <si>
    <t>Verify script injection (XSS) payload in Email field is sanitized</t>
  </si>
  <si>
    <t>&lt;script&gt;alert(1)&lt;/script&gt;, password</t>
  </si>
  <si>
    <t>Input is escaped/sanitized; no script executes; a validation error or generic login failure is shown</t>
  </si>
  <si>
    <t>7/17/2026, 2:47:54 PM</t>
  </si>
  <si>
    <t>0.50</t>
  </si>
  <si>
    <t>Enter '&lt;script&gt;alert(1)&lt;/script&gt;' in the Email field</t>
  </si>
  <si>
    <t>TC_AIUSER_14</t>
  </si>
  <si>
    <t>Verify leading/trailing whitespace in email is trimmed before validation</t>
  </si>
  <si>
    <t xml:space="preserve">  kathir@arizon.digital  , password</t>
  </si>
  <si>
    <t>Whitespace is trimmed automatically; login succeeds as if entered without spaces</t>
  </si>
  <si>
    <t>7/17/2026, 2:47:57 PM</t>
  </si>
  <si>
    <t>7/17/2026, 2:47:56 PM</t>
  </si>
  <si>
    <t>Enter the registered email with leading/trailing spaces</t>
  </si>
  <si>
    <t>Enter the correct password</t>
  </si>
  <si>
    <t>TC_AIUSER_15</t>
  </si>
  <si>
    <t>Verify email is treated as case-insensitive during login</t>
  </si>
  <si>
    <t>'CommerceHub AI User' tab is selected; user has a valid account with email admin@arizondigital.com</t>
  </si>
  <si>
    <t>KATHIR@arizon.digital, password</t>
  </si>
  <si>
    <t>Login succeeds regardless of the email's letter casing</t>
  </si>
  <si>
    <t>7/17/2026, 2:47:59 PM</t>
  </si>
  <si>
    <t>7/17/2026, 2:47:58 PM</t>
  </si>
  <si>
    <t>0.48</t>
  </si>
  <si>
    <t>Enter the same email in a different case (e.g. all uppercase)</t>
  </si>
  <si>
    <t>TC_AIUSER_16</t>
  </si>
  <si>
    <t>Verify maximum character length validation on Email/Password fields</t>
  </si>
  <si>
    <t>Email: 300-character string@test.com</t>
  </si>
  <si>
    <t>Field enforces a maximum length or shows a validation error; no server error or crash occurs</t>
  </si>
  <si>
    <t>Enter an excessively long string (300+ characters) in Email</t>
  </si>
  <si>
    <t>TC_AIUSER_17</t>
  </si>
  <si>
    <t>Verify session times out after configured inactivity period</t>
  </si>
  <si>
    <t>'CommerceHub AI User' tab is selected; user is logged in</t>
  </si>
  <si>
    <t>Idle time: e.g. 30 minutes</t>
  </si>
  <si>
    <t>Session expires; user is redirected to the login page with a 'Session expired, please login again' message</t>
  </si>
  <si>
    <t>Leave the session idle for the configured timeout period</t>
  </si>
  <si>
    <t>Attempt to perform an action</t>
  </si>
  <si>
    <t>TC_AIUSER_18</t>
  </si>
  <si>
    <t>Verify 'Sign in with SSO' button initiates SSO redirect flow</t>
  </si>
  <si>
    <t>'CommerceHub AI User' tab is selected; SSO is enabled for this login type</t>
  </si>
  <si>
    <t>User is redirected to the configured Identity Provider (SSO) login page</t>
  </si>
  <si>
    <t>Click 'Sign in with SSO'</t>
  </si>
  <si>
    <t>TC_AIUSER_19</t>
  </si>
  <si>
    <t>Verify successful login completion via SSO</t>
  </si>
  <si>
    <t>SSO is configured for the user's organization</t>
  </si>
  <si>
    <t>Valid IdP test credentials</t>
  </si>
  <si>
    <t>User is redirected back to CommerceHub AI, session is established, and the appropriate dashboard loads for the CommerceHub AI User user type</t>
  </si>
  <si>
    <t>Complete authentication with valid IdP test credentials</t>
  </si>
  <si>
    <t>TC_AIUSER_20</t>
  </si>
  <si>
    <t>Verify SSO login failure/cancellation is handled gracefully</t>
  </si>
  <si>
    <t>SSO is configured</t>
  </si>
  <si>
    <t>User is redirected back to the 'CommerceHub AI User' tab with an appropriate error/cancellation message; no session is created</t>
  </si>
  <si>
    <t>Cancel or fail authentication at the Identity Provider</t>
  </si>
  <si>
    <t>TC_AIUSER_21</t>
  </si>
  <si>
    <t>Verify 'Forgot password?' link navigates to the password reset flow</t>
  </si>
  <si>
    <t>User is navigated to a 'Reset Password' page/flow where they can enter their registered email to receive a reset link</t>
  </si>
  <si>
    <t>7/17/2026, 2:48:01 PM</t>
  </si>
  <si>
    <t>7/17/2026, 2:48:00 PM</t>
  </si>
  <si>
    <t>1.14</t>
  </si>
  <si>
    <t>Click 'Forgot password?'</t>
  </si>
  <si>
    <t>TC_AIUSER_22</t>
  </si>
  <si>
    <t>Verify 'CommerceHub AI User' and 'Customer Login' logins are isolated (cross-tab credential mismatch)</t>
  </si>
  <si>
    <t>A 'CommerceHub AI User' account and a separate 'Customer Login' account exist</t>
  </si>
  <si>
    <t>kathir@arizon.digital, kathir1@arizon.digital, password</t>
  </si>
  <si>
    <t>CommerceHub AI User' and 'Customer Login' logins should be isolated (cross-tab credential mismatch)</t>
  </si>
  <si>
    <t>Select the 'Customer Login' tab</t>
  </si>
  <si>
    <t>Enter the 'CommerceHub AI User' account's credentials</t>
  </si>
  <si>
    <t>TC_AIUSER_23</t>
  </si>
  <si>
    <t>Verify removing a user's access blocks further login</t>
  </si>
  <si>
    <t>Admin has revoked this user's platform access</t>
  </si>
  <si>
    <t>Login is blocked; user cannot access the dashboard even with previously-valid credentials</t>
  </si>
  <si>
    <t>Attempt to log in with the revoked user's credentials on the 'CommerceHub AI User' tab</t>
  </si>
  <si>
    <t>TC_CUST_01</t>
  </si>
  <si>
    <t>Verify Customer Login tab displays correct heading, subtitle and placeholder</t>
  </si>
  <si>
    <t>Heading 'Customer Login', subtitle 'Access your personalized storefront intelligence.' and placeholder 'name@yourstore.com' are displayed correctly on the Customer Login tab</t>
  </si>
  <si>
    <t>TC_CUST_02</t>
  </si>
  <si>
    <t>'Customer Login' tab is selected; user has a valid active account</t>
  </si>
  <si>
    <t>Email: owner@yourstore.com / Password: Valid@123</t>
  </si>
  <si>
    <t>User is authenticated successfully and redirected to their personalized storefront dashboard</t>
  </si>
  <si>
    <t>TC_CUST_03</t>
  </si>
  <si>
    <t>'Customer Login' tab is selected; user has valid credentials</t>
  </si>
  <si>
    <t>TC_CUST_04</t>
  </si>
  <si>
    <t>'Customer Login' tab is selected; user has a valid account</t>
  </si>
  <si>
    <t>Email: owner@yourstore.com / Password: WrongPass1</t>
  </si>
  <si>
    <t>TC_CUST_05</t>
  </si>
  <si>
    <t>'Customer Login' tab is selected</t>
  </si>
  <si>
    <t>TC_CUST_06</t>
  </si>
  <si>
    <t>Email: abc@ / Password: Test@123</t>
  </si>
  <si>
    <t>TC_CUST_07</t>
  </si>
  <si>
    <t>Password: Test@123</t>
  </si>
  <si>
    <t>TC_CUST_08</t>
  </si>
  <si>
    <t>Email: owner@yourstore.com</t>
  </si>
  <si>
    <t>TC_CUST_09</t>
  </si>
  <si>
    <t>TC_CUST_10</t>
  </si>
  <si>
    <t>Email: owner@yourstore.com / Password: wrong x5</t>
  </si>
  <si>
    <t>TC_CUST_11</t>
  </si>
  <si>
    <t>'Customer Login' tab is selected; an account exists in 'Suspended' state</t>
  </si>
  <si>
    <t>Email: suspended.user@yourstore.com</t>
  </si>
  <si>
    <t>TC_CUST_12</t>
  </si>
  <si>
    <t>Email: ' OR '1'='1 / Password: anything</t>
  </si>
  <si>
    <t>TC_CUST_13</t>
  </si>
  <si>
    <t>Email: &lt;script&gt;alert(1)&lt;/script&gt;</t>
  </si>
  <si>
    <t>TC_CUST_14</t>
  </si>
  <si>
    <t>Email: '  owner@yourstore.com  '</t>
  </si>
  <si>
    <t>TC_CUST_15</t>
  </si>
  <si>
    <t>'Customer Login' tab is selected; user has a valid account with email owner@yourstore.com</t>
  </si>
  <si>
    <t>Email: OWNER@YOURSTORE.COM</t>
  </si>
  <si>
    <t>TC_CUST_16</t>
  </si>
  <si>
    <t>TC_CUST_17</t>
  </si>
  <si>
    <t>'Customer Login' tab is selected; user is logged in</t>
  </si>
  <si>
    <t>TC_CUST_18</t>
  </si>
  <si>
    <t>'Customer Login' tab is selected; SSO is enabled for this login type</t>
  </si>
  <si>
    <t>TC_CUST_19</t>
  </si>
  <si>
    <t>User is redirected back to CommerceHub AI, session is established, and the appropriate dashboard loads for the Customer Login user type</t>
  </si>
  <si>
    <t>TC_CUST_20</t>
  </si>
  <si>
    <t>User is redirected back to the 'Customer Login' tab with an appropriate error/cancellation message; no session is created</t>
  </si>
  <si>
    <t>TC_CUST_21</t>
  </si>
  <si>
    <t>TC_CUST_22</t>
  </si>
  <si>
    <t>Verify 'Customer Login' and 'CommerceHub AI User' logins are isolated (cross-tab credential mismatch)</t>
  </si>
  <si>
    <t>A 'Customer Login' account and a separate 'CommerceHub AI User' account exist</t>
  </si>
  <si>
    <t>Customer Login credentials entered on CommerceHub AI User tab</t>
  </si>
  <si>
    <t>Login fails / user is not authenticated on the wrong tab, confirming role-based separation between the two login types</t>
  </si>
  <si>
    <t>Enter the 'Customer Login' account's credentials</t>
  </si>
  <si>
    <t>TC_CUST_23</t>
  </si>
  <si>
    <t>Attempt to log in with the revoked user's credentials on the 'Customer Login' tab</t>
  </si>
  <si>
    <t>TC_FP_01</t>
  </si>
  <si>
    <t>Verify forgot password flow sends reset link for a registered email</t>
  </si>
  <si>
    <t>Ensure that user has a registered account</t>
  </si>
  <si>
    <t>Vijay@arizon.digital</t>
  </si>
  <si>
    <t>Confirmation message shown ('If this email exists, a reset link has been sent'); reset email is received with a valid, time-bound link</t>
  </si>
  <si>
    <t>7/17/2026, 2:49:45 PM</t>
  </si>
  <si>
    <t>7/17/2026, 2:49:42 PM</t>
  </si>
  <si>
    <t>2.49</t>
  </si>
  <si>
    <t>Enter registered email</t>
  </si>
  <si>
    <t>Submit</t>
  </si>
  <si>
    <t>TC_FP_02</t>
  </si>
  <si>
    <t>Verify forgot password flow for an unregistered email does not reveal account existence</t>
  </si>
  <si>
    <t>Forgot password page open</t>
  </si>
  <si>
    <t>Email: notexist@nowhere.com</t>
  </si>
  <si>
    <t>Generic confirmation message shown without indicating whether the email is registered (prevents user enumeration)</t>
  </si>
  <si>
    <t>Enter an unregistered email</t>
  </si>
  <si>
    <t>TC_FP_03</t>
  </si>
  <si>
    <t>Verify password reset link expires after defined validity period</t>
  </si>
  <si>
    <t>Ensure that a reset link has been generated</t>
  </si>
  <si>
    <t>Expired reset link</t>
  </si>
  <si>
    <t>Link is rejected with 'This link has expired, please request a new one' message</t>
  </si>
  <si>
    <t>Wait beyond link expiry window (e.g. 24 hrs)</t>
  </si>
  <si>
    <t>Click the reset link</t>
  </si>
  <si>
    <t>Attempt to set new password</t>
  </si>
  <si>
    <t>TC_FP_04</t>
  </si>
  <si>
    <t>Verify password reset succeeds with the minimum allowed password length (6 characters)</t>
  </si>
  <si>
    <t>User has clicked a valid reset link and is on the Set New Password screen</t>
  </si>
  <si>
    <t>New Password: Ab12cd (6 characters)</t>
  </si>
  <si>
    <t>Password is accepted as valid (minimum length requirement of 6 characters is met); password is reset successfully and the user can log in with the new password</t>
  </si>
  <si>
    <t>Enter a 6-character password in 'New Password' field</t>
  </si>
  <si>
    <t>Enter the same value in 'Confirm Password' field</t>
  </si>
  <si>
    <t>Click 'Reset Password'</t>
  </si>
  <si>
    <t>TC_FP_05</t>
  </si>
  <si>
    <t>Verify password reset is rejected when the password is shorter than the minimum length (6 characters)</t>
  </si>
  <si>
    <t>New Password: Ab12c (5 characters)</t>
  </si>
  <si>
    <t>Inline validation error such as 'Password must be at least 6 characters' is shown; password is not reset; form is not submitted</t>
  </si>
  <si>
    <t>Enter a 5-character password in 'New Password' field, e.g. 'Ab12c'</t>
  </si>
  <si>
    <t>TC_RA_01</t>
  </si>
  <si>
    <t>Verify 'Request Access' link navigates to the request access form</t>
  </si>
  <si>
    <t>Ensure that login page open</t>
  </si>
  <si>
    <t>User is navigated to a Request Access form to submit their details for account provisioning</t>
  </si>
  <si>
    <t>Click 'Request Access' link (on either tab)</t>
  </si>
  <si>
    <t>TC_RA_02</t>
  </si>
  <si>
    <t>Verify Request Access form validates mandatory fields before submission</t>
  </si>
  <si>
    <t>Request Access form open</t>
  </si>
  <si>
    <t>Validation errors shown for each required field; form is not submitted</t>
  </si>
  <si>
    <t>Leave mandatory fields blank</t>
  </si>
  <si>
    <t>Click Submit</t>
  </si>
  <si>
    <t>TC_RA_03</t>
  </si>
  <si>
    <t>Verify successful submission of Request Access form triggers confirmation</t>
  </si>
  <si>
    <t>Name, Company Email, Company Name, Store Platform</t>
  </si>
  <si>
    <t>Submission succeeds; confirmation message/screen displayed; request routed to admin approval queue (per 'New user?' YES path in flow)</t>
  </si>
  <si>
    <t>Fill all mandatory fields with valid data</t>
  </si>
  <si>
    <t>TC_RA_04</t>
  </si>
  <si>
    <t>Verify request access approval by admin - customer login</t>
  </si>
  <si>
    <t>Access approved by admin</t>
  </si>
  <si>
    <t>After approval user should be able to access the customer login dashboard.</t>
  </si>
  <si>
    <t>Observe the user access dashboard</t>
  </si>
  <si>
    <t>TC_RA_05</t>
  </si>
  <si>
    <t>Verify request access rejected by admin - customer login</t>
  </si>
  <si>
    <t>Access rejected by admin</t>
  </si>
  <si>
    <t>After rejecting user request, user should not be able to access the customer login dashboard.</t>
  </si>
  <si>
    <t>TC_ONB_01</t>
  </si>
  <si>
    <t>Verify first-time login redirects user to 'Connect your store' screen</t>
  </si>
  <si>
    <t>Ensure that user logs in for the first time (new account, no store connected)</t>
  </si>
  <si>
    <t>New user credentials</t>
  </si>
  <si>
    <t>User is redirected to onboarding screen showing 'Connect Existing Platform' and 'Configure New Store' options, Step 1 of 3</t>
  </si>
  <si>
    <t>Login with valid new-user credentials</t>
  </si>
  <si>
    <t>TC_ONB_02</t>
  </si>
  <si>
    <t>Verify returning user (already onboarded) bypasses onboarding and lands on Dashboard</t>
  </si>
  <si>
    <t>Ensure that user has already completed onboarding previously</t>
  </si>
  <si>
    <t>Existing user credentials</t>
  </si>
  <si>
    <t>User is redirected directly to Dashboard, onboarding screens are skipped</t>
  </si>
  <si>
    <t>Login with existing onboarded user's credentials</t>
  </si>
  <si>
    <t>TC_ONB_03</t>
  </si>
  <si>
    <t>Verify platform tile selection under 'Connect Existing Platform' (BigCommerce/Shopify/Shopware/Custom)</t>
  </si>
  <si>
    <t>Onboarding Step 1 screen open</t>
  </si>
  <si>
    <t>Only one platform tile can be selected at a time (radio-like behavior); selected tile is visually highlighted</t>
  </si>
  <si>
    <t>Click 'BigCommerce' tile</t>
  </si>
  <si>
    <t>Click 'Shopify' tile</t>
  </si>
  <si>
    <t>Observe selection state</t>
  </si>
  <si>
    <t>TC_ONB_04</t>
  </si>
  <si>
    <t>Verify 'Continue' button on Connect Existing Platform requires a platform selection</t>
  </si>
  <si>
    <t>Onboarding Step 1 screen open, no platform selected</t>
  </si>
  <si>
    <t>'Continue' is disabled or shows validation prompting user to select a platform first</t>
  </si>
  <si>
    <t>Do not select any platform tile</t>
  </si>
  <si>
    <t>Click 'Continue'</t>
  </si>
  <si>
    <t>TC_ONB_05</t>
  </si>
  <si>
    <t>Verify 'Configure New Store' -&gt; 'Get Started' navigates to AI-guided new store setup</t>
  </si>
  <si>
    <t>User is navigated into the AI-guided new store configuration wizard (product generation, theme, inventory setup)</t>
  </si>
  <si>
    <t>Click 'Get Started' under 'Configure New Store'</t>
  </si>
  <si>
    <t>TC_ONB_06</t>
  </si>
  <si>
    <t>Verify 'Skip for now' allows bypassing onboarding</t>
  </si>
  <si>
    <t>User is taken directly to the Dashboard without connecting/configuring a store; onboarding can be resumed later</t>
  </si>
  <si>
    <t>Click 'Skip for now'</t>
  </si>
  <si>
    <t>TC_ONB_07</t>
  </si>
  <si>
    <t>Verify step indicator updates correctly across the 3-step</t>
  </si>
  <si>
    <t>Onboarding wizard in progress</t>
  </si>
  <si>
    <t>Step indicator correctly reflects 'Step 1 of 3' -&gt; 'Step 2 of 3' -&gt; 'Step 3 of 3' as user progresses</t>
  </si>
  <si>
    <t>Complete Step 1 and proceed</t>
  </si>
  <si>
    <t>Observe step indicator on Step 2</t>
  </si>
  <si>
    <t>Proceed to Step 3</t>
  </si>
  <si>
    <t>TC_ONB_08</t>
  </si>
  <si>
    <t>Verify 'Back' navigation from Step 2 returns to Step 1 retaining prior selection</t>
  </si>
  <si>
    <t>Ensure that user is on Step 2 (Connect Your BigCommerce Store)</t>
  </si>
  <si>
    <t>User returns to Step 1 with the previously selected platform tile still highlighted</t>
  </si>
  <si>
    <t>Click 'Back'</t>
  </si>
  <si>
    <t>Observe Step 1 screen</t>
  </si>
  <si>
    <t>TC_CONN_01</t>
  </si>
  <si>
    <t>Verify all fields (Store URL, API Path, Client ID, Access Token, Client Secret) are mandatory</t>
  </si>
  <si>
    <t>Step 2 'Connect Your BigCommerce Store' screen open</t>
  </si>
  <si>
    <t>Validation errors shown for each mandatory field; 'Connect Store' does not proceed</t>
  </si>
  <si>
    <t>Leave all fields blank</t>
  </si>
  <si>
    <t>Click 'Connect Store'</t>
  </si>
  <si>
    <t>TC_CONN_02</t>
  </si>
  <si>
    <t>Verify Store URL field validates a proper BigCommerce domain format</t>
  </si>
  <si>
    <t>Step 2 screen open</t>
  </si>
  <si>
    <t>Store URL: 'randomtext'</t>
  </si>
  <si>
    <t>Validation error indicating Store URL must match expected format (e.g. yourstore.mybigcommerce.com)</t>
  </si>
  <si>
    <t>Enter an invalid Store URL (e.g. 'not a url')</t>
  </si>
  <si>
    <t>Fill remaining fields validly</t>
  </si>
  <si>
    <t>TC_CONN_03</t>
  </si>
  <si>
    <t>Verify Access Token and Client Secret fields are masked with show/hide toggle</t>
  </si>
  <si>
    <t>Access Token: abcd1234 / Client Secret: xyz9876</t>
  </si>
  <si>
    <t>Both fields mask input by default; clicking eye icon reveals/hides the value independently for each field</t>
  </si>
  <si>
    <t>Enter values in Access Token and Client Secret</t>
  </si>
  <si>
    <t>Click each field's eye icon</t>
  </si>
  <si>
    <t>TC_CONN_04</t>
  </si>
  <si>
    <t>Verify successful store connection with valid API credentials</t>
  </si>
  <si>
    <t>Ensure that valid BigCommerce Store URL, API Path, Client ID, Access Token, Client Secret available</t>
  </si>
  <si>
    <t>Store URL: teststore.mybigcommerce.com, API Path: /api/v2, valid Client ID/Token/Secret</t>
  </si>
  <si>
    <t>Store connects successfully; user is redirected to 'Store Connected Successfully' screen showing sync progress</t>
  </si>
  <si>
    <t>Enter all valid credentials</t>
  </si>
  <si>
    <t>TC_CONN_05</t>
  </si>
  <si>
    <t>Verify connection fails with invalid/incorrect API credentials</t>
  </si>
  <si>
    <t>Client ID: invalid123</t>
  </si>
  <si>
    <t>Connection fails with clear error message (e.g. 'Unable to connect - invalid credentials'); user remains on Step 2 to correct details</t>
  </si>
  <si>
    <t>Enter valid Store URL but invalid Client ID/Access Token/Client Secret</t>
  </si>
  <si>
    <t>TC_CONN_06</t>
  </si>
  <si>
    <t>Verify connection attempt when BigCommerce API/store is unreachable (timeout)</t>
  </si>
  <si>
    <t>Ensure that store URL points to an unreachable/non-existent store</t>
  </si>
  <si>
    <t>Store URL: doesnotexist.mybigcommerce.com</t>
  </si>
  <si>
    <t>Timeout/connection error message displayed after reasonable wait; user can retry or go Back</t>
  </si>
  <si>
    <t>Enter unreachable Store URL with otherwise valid-format credentials</t>
  </si>
  <si>
    <t>TC_CONN_07</t>
  </si>
  <si>
    <t>Verify 'Need help? Contact Support' link is functional</t>
  </si>
  <si>
    <t>Link opens support contact page/chat widget or mailto link as designed</t>
  </si>
  <si>
    <t>Click 'Need help? Contact Support' link</t>
  </si>
  <si>
    <t>TC_CONN_08</t>
  </si>
  <si>
    <t>Verify duplicate store connection (already connected store) is handled correctly</t>
  </si>
  <si>
    <t>Ensure that a store URL is already connected to the user's account</t>
  </si>
  <si>
    <t>Already-connected Store URL</t>
  </si>
  <si>
    <t>System detects duplicate and shows message ('Store already connected') instead of creating a duplicate connection</t>
  </si>
  <si>
    <t>Attempt to connect the same Store URL again with valid credentials</t>
  </si>
  <si>
    <t>TC_SYNC_01</t>
  </si>
  <si>
    <t>Verify 'Store Connected Successfully' screen displays sync status for Products, Orders, Customers</t>
  </si>
  <si>
    <t>Ensure that store has just been connected successfully</t>
  </si>
  <si>
    <t>Screen shows 'Store Connected Successfully!' with individual sync status/progress rows for Products, Orders, and Customers</t>
  </si>
  <si>
    <t>Observe the confirmation screen after connection</t>
  </si>
  <si>
    <t>TC_SYNC_02</t>
  </si>
  <si>
    <t>Verify sync progress bar updates in real time until completion</t>
  </si>
  <si>
    <t>Sync is in progress</t>
  </si>
  <si>
    <t>Progress indicators update from 'Syncing...' to 'Synced' as each data type completes, without requiring page refresh</t>
  </si>
  <si>
    <t>Observe progress bar/labels over time until all items show 'Synced'</t>
  </si>
  <si>
    <t>TC_SYNC_03</t>
  </si>
  <si>
    <t>Verify 'Continue to Dashboard' button behavior during and after sync</t>
  </si>
  <si>
    <t>Sync in progress / sync completed</t>
  </si>
  <si>
    <t>User can proceed to Dashboard (sync can continue in background) and dashboard reflects data as it becomes available; behavior is consistent and documented</t>
  </si>
  <si>
    <t>Click 'Continue to Dashboard' while sync is still in progress</t>
  </si>
  <si>
    <t>Click again after sync completes</t>
  </si>
  <si>
    <t>TC_SYNC_04</t>
  </si>
  <si>
    <t>Verify 'Add Another Store' link allows connecting a second store</t>
  </si>
  <si>
    <t>Ensure that store connected successfully screen is displayed</t>
  </si>
  <si>
    <t>User is returned to Step 1/2 of onboarding to connect an additional store, without affecting the first connected store</t>
  </si>
  <si>
    <t>Click 'Add Another Store'</t>
  </si>
  <si>
    <t>TC_SYNC_05</t>
  </si>
  <si>
    <t>Verify sync failure for one data type (e.g. Orders) is surfaced without blocking others</t>
  </si>
  <si>
    <t>Ensure that simulated failure during Orders sync while Products/Customers succeed</t>
  </si>
  <si>
    <t>Products and Customers show 'Synced', Orders shows 'Failed' with a retry option; overall process does not silently fail</t>
  </si>
  <si>
    <t>Trigger sync with a simulated Orders sync failure</t>
  </si>
  <si>
    <t>Observe status per data type</t>
  </si>
  <si>
    <t>TC_SYNC_06</t>
  </si>
  <si>
    <t>Verify full sync failure (all data types) shows error and retry option</t>
  </si>
  <si>
    <t>Ensure that simulated total sync failure (e.g. API credentials revoked mid-sync)</t>
  </si>
  <si>
    <t>Clear error message displayed for all data types with an option to retry sync or re-check store connection</t>
  </si>
  <si>
    <t>Trigger sync and simulate total failure</t>
  </si>
  <si>
    <t>TC_DASH_01</t>
  </si>
  <si>
    <t>Verify Dashboard loads with correct KPI cards after login/onboarding</t>
  </si>
  <si>
    <t>Ensure that user is logged in and has at least one connected store with data</t>
  </si>
  <si>
    <t>Dashboard displays Total Revenue, Total Orders, Active Products, Customer Count cards with correct values and % change indicators</t>
  </si>
  <si>
    <t>Navigate to Dashboard</t>
  </si>
  <si>
    <t>TC_DASH_02</t>
  </si>
  <si>
    <t>Verify Revenue Overview chart renders correctly for last 6 months</t>
  </si>
  <si>
    <t>Dashboard loaded with historical revenue data</t>
  </si>
  <si>
    <t>Line/area chart renders with Jan-Jun axis labels and revenue trend matching underlying data</t>
  </si>
  <si>
    <t>Observe 'Revenue Overview' chart section</t>
  </si>
  <si>
    <t>TC_DASH_03</t>
  </si>
  <si>
    <t>Verify Top Selling Products list is sorted by revenue descending</t>
  </si>
  <si>
    <t>Dashboard loaded with product sales data</t>
  </si>
  <si>
    <t>Products are listed in descending order of revenue (e.g. Wireless Noise-Canceling Buds $24,50 at top)</t>
  </si>
  <si>
    <t>Observe 'Top Selling Products' panel</t>
  </si>
  <si>
    <t>Compare listed revenue values top to bottom</t>
  </si>
  <si>
    <t>TC_DASH_04</t>
  </si>
  <si>
    <t>Verify Recent Orders table displays correct data and status color-coding</t>
  </si>
  <si>
    <t>Dashboard loaded with recent order data</t>
  </si>
  <si>
    <t>Each order row shows correct data; 'Completed' status shown in green, 'Processing'/'Pending' shown in orange/yellow consistently</t>
  </si>
  <si>
    <t>Observe 'Recent Orders' table for Order ID, Customer, Amount, Status columns</t>
  </si>
  <si>
    <t>TC_DASH_05</t>
  </si>
  <si>
    <t>Verify 'View All' link navigates to the complete Orders list</t>
  </si>
  <si>
    <t>Dashboard loaded</t>
  </si>
  <si>
    <t>User is navigated to Cart &amp; Orders section showing the full orders list</t>
  </si>
  <si>
    <t>Click 'View All' next to Recent Orders</t>
  </si>
  <si>
    <t>TC_DASH_06</t>
  </si>
  <si>
    <t>Verify Store Health panel reflects accurate Sync Status, Last Sync time, and API Status</t>
  </si>
  <si>
    <t>Ensure that store is connected and synced</t>
  </si>
  <si>
    <t>Sync Status shows 'Active', Last Sync shows an accurate recent timestamp (e.g. '2 min ago'), API Status shows 'Connected'</t>
  </si>
  <si>
    <t>Observe 'Store Health' panel</t>
  </si>
  <si>
    <t>TC_DASH_07</t>
  </si>
  <si>
    <t>Verify all top navigation tabs (Templates, Products, Pricing, Cart &amp; Orders, Payments, Merchandising, Rules Engine, Configuration) are functional</t>
  </si>
  <si>
    <t>Each tab navigates to its respective module without errors, and the active tab is visually highlighted</t>
  </si>
  <si>
    <t>Click each navigation tab one at a time</t>
  </si>
  <si>
    <t>Verify correct page loads for each</t>
  </si>
  <si>
    <t>TC_DASH_08</t>
  </si>
  <si>
    <t>Verify Dashboard displays a no-data/empty state gracefully for a newly connected store</t>
  </si>
  <si>
    <t>Ensure that store just connected, sync not yet complete / zero orders</t>
  </si>
  <si>
    <t>Dashboard shows zero/empty-state values (e.g. $0, 0 orders) or a loading/placeholder state rather than errors or broken charts</t>
  </si>
  <si>
    <t>Navigate to Dashboard immediately after connecting a store with no historical data</t>
  </si>
  <si>
    <t>TC_API_01</t>
  </si>
  <si>
    <t>Staging</t>
  </si>
  <si>
    <t>Verify POST /auth/login returns 20 and a valid token for correct credentials</t>
  </si>
  <si>
    <t>Ensure that valid registered user exists; API test tool (Postman) configured</t>
  </si>
  <si>
    <t>Body: {"email":"admin@arizondigital.com","password":"Valid@123"}</t>
  </si>
  <si>
    <t>HTTP 20 OK returned with a valid JWT/session token, expiry, and user profile/role info in response body</t>
  </si>
  <si>
    <t>Send POST /auth/login with valid email &amp; password in body</t>
  </si>
  <si>
    <t>Inspect response</t>
  </si>
  <si>
    <t>TC_API_02</t>
  </si>
  <si>
    <t>Verify POST /auth/login returns 401 for invalid credentials</t>
  </si>
  <si>
    <t>Ensure that aPI test tool configured</t>
  </si>
  <si>
    <t>Body: {"email":"admin@arizondigital.com","password":"wrong"}</t>
  </si>
  <si>
    <t>HTTP 401 Unauthorized returned with generic error message; no token issued</t>
  </si>
  <si>
    <t>Send POST /auth/login with incorrect password</t>
  </si>
  <si>
    <t>TC_API_03</t>
  </si>
  <si>
    <t>Verify POST /auth/login returns 40 for missing mandatory fields</t>
  </si>
  <si>
    <t>Body: {"email":"admin@arizondigital.com"}</t>
  </si>
  <si>
    <t>HTTP 40 Bad Request returned with field-level validation error indicating password is required</t>
  </si>
  <si>
    <t>Send POST /auth/login with 'password' field omitted</t>
  </si>
  <si>
    <t>TC_API_04</t>
  </si>
  <si>
    <t>Verify login API enforces rate limiting / returns 429 on excessive attempts</t>
  </si>
  <si>
    <t>Same invalid credentials, 20 rapid requests</t>
  </si>
  <si>
    <t>After threshold is crossed, API returns HTTP 429 Too Many Requests with Retry-After header</t>
  </si>
  <si>
    <t>Send POST /auth/login repeatedly (e.g. 20 requests within 1 minute) with invalid credentials</t>
  </si>
  <si>
    <t>TC_API_05</t>
  </si>
  <si>
    <t>Verify JWT/session token expiry and refresh-token flow works as expected</t>
  </si>
  <si>
    <t>Ensure that user has a valid access token nearing expiry, and a refresh token</t>
  </si>
  <si>
    <t>Expired access token, valid refresh token</t>
  </si>
  <si>
    <t>Protected endpoint call with expired token returns 401; refresh call returns a new valid access token</t>
  </si>
  <si>
    <t>Wait until access token expires</t>
  </si>
  <si>
    <t>Call a protected endpoint with expired token</t>
  </si>
  <si>
    <t>Call POST /auth/refresh with valid refresh token</t>
  </si>
  <si>
    <t>TC_API_06</t>
  </si>
  <si>
    <t>Verify POST /auth/sso/callback correctly exchanges SSO auth code for a session</t>
  </si>
  <si>
    <t>Ensure that sSO IdP configured in staging</t>
  </si>
  <si>
    <t>Valid SSO auth code &amp; state param</t>
  </si>
  <si>
    <t>API validates code/state, exchanges for tokens, and returns 20 with a valid CommerceHub session/JWT</t>
  </si>
  <si>
    <t>Complete SSO handshake and capture auth code/state</t>
  </si>
  <si>
    <t>Send POST /auth/sso/callback with code</t>
  </si>
  <si>
    <t>TC_API_07</t>
  </si>
  <si>
    <t>Verify POST /store/connect validates BigCommerce credentials before saving connection</t>
  </si>
  <si>
    <t>Ensure that valid BigCommerce sandbox store credentials available</t>
  </si>
  <si>
    <t>Valid BigCommerce sandbox credentials</t>
  </si>
  <si>
    <t>HTTP 20/201 returned; connection record created; response confirms 'connected' status</t>
  </si>
  <si>
    <t>Send POST /store/connect with valid Store URL/API Path/Client ID/Access Token/Client Secret</t>
  </si>
  <si>
    <t>TC_API_08</t>
  </si>
  <si>
    <t>Verify POST /store/connect returns appropriate error for invalid Client ID/Access Token</t>
  </si>
  <si>
    <t>Ensure that store connect endpoint accessible</t>
  </si>
  <si>
    <t>Invalid Client ID/Access Token</t>
  </si>
  <si>
    <t>HTTP 401/422 returned with a descriptive error message (e.g. 'Invalid API credentials'); no connection record is created</t>
  </si>
  <si>
    <t>Send POST /store/connect with invalid Client ID/Access Token</t>
  </si>
  <si>
    <t>Verify GET /dashboard/kpis returns accurate revenue, orders, products, and customer counts</t>
  </si>
  <si>
    <t>Ensure that store connected with known seeded data set</t>
  </si>
  <si>
    <t>Auth token for a store with known seed data</t>
  </si>
  <si>
    <t>Response values (Total Revenue, Total Orders, Active Products, Customer Count) match the expected seeded data exactly</t>
  </si>
  <si>
    <t>Send GET /dashboard/kpis with a valid auth token</t>
  </si>
  <si>
    <t>Verify GET /sync/status returns real-time progress for Products/Orders/Customers sync</t>
  </si>
  <si>
    <t>Ensure that a sync job is currently running</t>
  </si>
  <si>
    <t>Store ID with active sync job</t>
  </si>
  <si>
    <t>Response reflects current per-entity sync status (pending/in-progress/completed/failed) that updates as sync proceeds</t>
  </si>
  <si>
    <t>Trigger a sync</t>
  </si>
  <si>
    <t>Poll GET /sync/status at intervals</t>
  </si>
  <si>
    <t>TC_API_11</t>
  </si>
  <si>
    <t>Verify API responses never expose sensitive data (passwords, tokens, secrets) in plaintext</t>
  </si>
  <si>
    <t>Any authenticated API call available</t>
  </si>
  <si>
    <t>Passwords are never returned; Access Token/Client Secret are masked or omitted in GET responses</t>
  </si>
  <si>
    <t>Inspect response payloads of /auth/login, /store/connect, /users endpoints</t>
  </si>
  <si>
    <t>TC_API_12</t>
  </si>
  <si>
    <t>Verify all API endpoints reject plain HTTP and enforce HTTPS/TLS</t>
  </si>
  <si>
    <t>Ensure that aPI base URL available</t>
  </si>
  <si>
    <t>Request is redirected to HTTPS or rejected; plaintext HTTP is not served</t>
  </si>
  <si>
    <t>Attempt to call an endpoint over http:// instead of https://</t>
  </si>
  <si>
    <t>TC_API_13</t>
  </si>
  <si>
    <t>Verify protected endpoints reject requests without a valid auth token</t>
  </si>
  <si>
    <t>Ensure that a protected endpoint (e.g. GET /dashboard/kpis) available</t>
  </si>
  <si>
    <t>No token / invalid token</t>
  </si>
  <si>
    <t>HTTP 401/403 returned in both cases; no data is leaked in the response body</t>
  </si>
  <si>
    <t>Send request without Authorization header</t>
  </si>
  <si>
    <t>Send request with a malformed/expired token</t>
  </si>
  <si>
    <t>TC_API_14</t>
  </si>
  <si>
    <t>Verify API input validation rejects malformed JSON and injection payloads</t>
  </si>
  <si>
    <t>Ensure that login/store-connect endpoints available</t>
  </si>
  <si>
    <t>Body: {"email": "' OR 1=1 --", malformed json</t>
  </si>
  <si>
    <t>API returns 40 Bad Request for malformed JSON; injection payloads are safely rejected/sanitized with no data breach or 50 error</t>
  </si>
  <si>
    <t>Send request with malformed JSON body</t>
  </si>
  <si>
    <t>Send request with SQL/NoSQL injection payload in fields</t>
  </si>
  <si>
    <t>TC_PERF_01</t>
  </si>
  <si>
    <t>Verify login page loads within acceptable time under normal load</t>
  </si>
  <si>
    <t>Ensure that staging environment provisioned similar to production</t>
  </si>
  <si>
    <t>Single user, normal network</t>
  </si>
  <si>
    <t>Login page fully loads within 2 seconds (target SLA)</t>
  </si>
  <si>
    <t>Measure page load time (TTFB, full render) for login page under normal (baseline) load</t>
  </si>
  <si>
    <t>TC_PERF_02</t>
  </si>
  <si>
    <t>Verify login API (POST /auth/login) response time meets SLA under normal load</t>
  </si>
  <si>
    <t>Ensure that load testing tool (e.g. JMeter/k6) configured</t>
  </si>
  <si>
    <t>100 sequential requests</t>
  </si>
  <si>
    <t>95th percentile response time is under 50ms; 99th percentile under 1s</t>
  </si>
  <si>
    <t>Execute repeated login API calls</t>
  </si>
  <si>
    <t>Measure p95/p99 response times</t>
  </si>
  <si>
    <t>TC_PERF_03</t>
  </si>
  <si>
    <t>Verify system handles concurrent login requests without degradation or errors</t>
  </si>
  <si>
    <t>Ensure that load testing tool configured</t>
  </si>
  <si>
    <t>50 concurrent virtual users</t>
  </si>
  <si>
    <t>All valid requests processed successfully; error rate &lt; 1%; response times remain within acceptable SLA (no significant degradation)</t>
  </si>
  <si>
    <t>Simulate 50 concurrent users hitting POST /auth/login simultaneously</t>
  </si>
  <si>
    <t>TC_PERF_04</t>
  </si>
  <si>
    <t>Verify Dashboard loads within acceptable time immediately after login</t>
  </si>
  <si>
    <t>Ensure that staging environment with representative data volume</t>
  </si>
  <si>
    <t>Single user session</t>
  </si>
  <si>
    <t>Dashboard fully renders (KPIs, chart, tables) within 3 seconds</t>
  </si>
  <si>
    <t>Login</t>
  </si>
  <si>
    <t>Measure time until Dashboard KPIs/charts are fully rendered</t>
  </si>
  <si>
    <t>TC_PERF_05</t>
  </si>
  <si>
    <t>Verify store sync (Products/Orders/Customers) completes within SLA for a large dataset</t>
  </si>
  <si>
    <t>BigCommerce sandbox store seeded with 10,00+ products/orders/customers</t>
  </si>
  <si>
    <t>10,00 products, 10,00 orders, 5,00 customers</t>
  </si>
  <si>
    <t>Full sync completes within the defined SLA (e.g. under 15 minutes) without timeouts or failures</t>
  </si>
  <si>
    <t>Connect store</t>
  </si>
  <si>
    <t>Trigger sync</t>
  </si>
  <si>
    <t>Measure time to complete sync for all entities</t>
  </si>
  <si>
    <t>TC_PERF_06</t>
  </si>
  <si>
    <t>Verify Dashboard remains stable under sustained concurrent user load</t>
  </si>
  <si>
    <t>100 concurrent users, 30-min soak test</t>
  </si>
  <si>
    <t>No crashes, memory leaks, or significant response time degradation observed over the soak-test duration</t>
  </si>
  <si>
    <t>Simulate 100 concurrent authenticated users loading the Dashboard repeatedly over 30 minutes</t>
  </si>
  <si>
    <t>TC_PERF_07</t>
  </si>
  <si>
    <t>Verify API throughput under stress load meets defined requests/sec threshold</t>
  </si>
  <si>
    <t>Stress-testing tool configured</t>
  </si>
  <si>
    <t>Ramp from 10 to 200 req/sec</t>
  </si>
  <si>
    <t>System sustains the target throughput (e.g. 50 req/sec) with error rate &lt; 1% before graceful degradation beyond capacity</t>
  </si>
  <si>
    <t>Gradually ramp up load on key APIs (login, dashboard KPIs, sync status) until failure/degradation point</t>
  </si>
  <si>
    <t>TC_PERF_08</t>
  </si>
  <si>
    <t>Verify no memory leak occurs during a sustained authenticated session</t>
  </si>
  <si>
    <t>Ensure that monitoring tools attached to app servers</t>
  </si>
  <si>
    <t>24-hour soak test</t>
  </si>
  <si>
    <t>Memory usage remains stable/bounded over time; no continuous upward memory trend indicating a leak</t>
  </si>
  <si>
    <t>Keep a session active with periodic API calls over 24 hours</t>
  </si>
  <si>
    <t>Monitor server memory usage</t>
  </si>
  <si>
    <t>TC_DB_01</t>
  </si>
  <si>
    <t>Verify duplicate email registration is prevented at the database level</t>
  </si>
  <si>
    <t>Ensure that a user with a given email already exists</t>
  </si>
  <si>
    <t>Existing email: admin@arizondigital.com</t>
  </si>
  <si>
    <t>Unique constraint on email column rejects the duplicate insert; API returns an appropriate 'email already exists' error</t>
  </si>
  <si>
    <t>Attempt to insert/register a second user with the same email (via API or direct insert)</t>
  </si>
  <si>
    <t>TC_DB_02</t>
  </si>
  <si>
    <t>Verify session/token records are correctly invalidated in DB/cache upon logout</t>
  </si>
  <si>
    <t>Ensure that user is logged in with an active session/token stored in DB or Redis</t>
  </si>
  <si>
    <t>Active session ID</t>
  </si>
  <si>
    <t>Session/token record is deleted or marked invalid immediately after logout; subsequent API calls with that token are rejected</t>
  </si>
  <si>
    <t>Note session/token record</t>
  </si>
  <si>
    <t>Query DB/cache for that session/token</t>
  </si>
  <si>
    <t>TC_DB_03</t>
  </si>
  <si>
    <t>Verify store connection credentials (Access Token, Client Secret) are encrypted at rest</t>
  </si>
  <si>
    <t>Ensure that a store connection has been created</t>
  </si>
  <si>
    <t>Connected store record</t>
  </si>
  <si>
    <t>Access Token and Client Secret values are stored encrypted (not plaintext); only decrypted at runtime when needed</t>
  </si>
  <si>
    <t>Connect a store</t>
  </si>
  <si>
    <t>Query the store_connections table directly in the database</t>
  </si>
  <si>
    <t>TC_DB_04</t>
  </si>
  <si>
    <t>Verify DB transaction rollback occurs when store connection process fails midway</t>
  </si>
  <si>
    <t>Ensure that simulated failure after partial write (e.g. connection record created but sync-job record insert fails)</t>
  </si>
  <si>
    <t>Simulated mid-process failure</t>
  </si>
  <si>
    <t>No partial/orphaned records exist; the transaction is fully rolled back leaving the database in a consistent prior state</t>
  </si>
  <si>
    <t>Trigger a store connection with a forced failure after the first insert step</t>
  </si>
  <si>
    <t>Inspect DB for orphaned records</t>
  </si>
  <si>
    <t>TC_DB_05</t>
  </si>
  <si>
    <t>Verify synced record counts in DB match source platform counts (data integrity)</t>
  </si>
  <si>
    <t>BigCommerce sandbox store with known product/order/customer counts</t>
  </si>
  <si>
    <t>Known seed counts (e.g. 50 products)</t>
  </si>
  <si>
    <t>Record counts in CommerceHub DB exactly match the source BigCommerce counts after sync completes</t>
  </si>
  <si>
    <t>Note source counts in BigCommerce sandbox</t>
  </si>
  <si>
    <t>Run sync</t>
  </si>
  <si>
    <t>Query CommerceHub DB tables for products/orders/customers counts</t>
  </si>
  <si>
    <t>TC_DB_06</t>
  </si>
  <si>
    <t>Verify login attempts are logged in an audit trail table with timestamp, IP, and user agent</t>
  </si>
  <si>
    <t>Audit logging enabled</t>
  </si>
  <si>
    <t>Valid and invalid login attempts</t>
  </si>
  <si>
    <t>Both attempts are logged with accurate timestamp, source IP, user agent, and success/failure status</t>
  </si>
  <si>
    <t>Perform a successful login and a failed login attempt</t>
  </si>
  <si>
    <t>Query the audit/login-history table</t>
  </si>
  <si>
    <t>TC_DB_07</t>
  </si>
  <si>
    <t>Verify disconnecting a store performs correct cascading/soft-delete behavior</t>
  </si>
  <si>
    <t>Ensure that a store is connected with associated synced products/orders/customers</t>
  </si>
  <si>
    <t>Connected store with synced data</t>
  </si>
  <si>
    <t>Store and its dependent records are soft-deleted or cascade-deleted per design, without leaving inconsistent orphaned references</t>
  </si>
  <si>
    <t>Disconnect/remove the store via UI or API</t>
  </si>
  <si>
    <t>Query related tables (products, orders, customers, sync jobs)</t>
  </si>
  <si>
    <t>TC_DB_08</t>
  </si>
  <si>
    <t>Verify database backup and restore preserves customer and store credential data integrity</t>
  </si>
  <si>
    <t>Ensure that a DB backup is available from before a restore test</t>
  </si>
  <si>
    <t>Full DB backup file</t>
  </si>
  <si>
    <t>Restored data matches original exactly (record counts, encrypted credential values, hashes) with no corruption</t>
  </si>
  <si>
    <t>Take a backup of current DB</t>
  </si>
  <si>
    <t>Restore into a test instance</t>
  </si>
  <si>
    <t>Compare user, customer, and store-connection records before/after</t>
  </si>
  <si>
    <t>TC_JRNY_01</t>
  </si>
  <si>
    <t>E2E: New CommerceHub AI User first-time login through onboarding and store connection to Dashboard</t>
  </si>
  <si>
    <t>Ensure a new CommerceHub AI User account exists with no store connected</t>
  </si>
  <si>
    <t>Email: admin@arizondigital.com / Password: Valid@123</t>
  </si>
  <si>
    <t>User completes CommerceHub AI User login, onboarding and store connection in one continuous flow and lands on a fully-loaded Dashboard with no errors at any step</t>
  </si>
  <si>
    <t>Open login URL (default 'Customer Login' tab loads)</t>
  </si>
  <si>
    <t>Enter valid email and password, click 'Sign In'</t>
  </si>
  <si>
    <t>Observe redirect to 'Connect your store' onboarding screen (Step 1 of 3)</t>
  </si>
  <si>
    <t>Select a platform (e.g. BigCommerce) under 'Connect Existing Platform' and click Continue</t>
  </si>
  <si>
    <t>Enter valid store credentials and click 'Connect Store'</t>
  </si>
  <si>
    <t>Observe sync progress and click 'Continue to Dashboard'</t>
  </si>
  <si>
    <t>Verify Dashboard loads with KPI cards, charts, and top navigation tabs</t>
  </si>
  <si>
    <t>TC_JRNY_02</t>
  </si>
  <si>
    <t>E2E: Returning CommerceHub AI User login goes directly to Dashboard, bypassing onboarding</t>
  </si>
  <si>
    <t>Ensure the CommerceHub AI User account has already completed onboarding and has a connected store</t>
  </si>
  <si>
    <t>User is authenticated and redirected straight to Dashboard with correct KPI data; no onboarding steps are shown</t>
  </si>
  <si>
    <t>Verify onboarding/connect-store screens are skipped and Dashboard loads directly</t>
  </si>
  <si>
    <t>TC_JRNY_03</t>
  </si>
  <si>
    <t>E2E: Customer Login (default tab) with valid credentials goes directly to storefront Dashboard</t>
  </si>
  <si>
    <t>Ensure that login page is open (default 'Customer Login' tab active) and customer has a valid account</t>
  </si>
  <si>
    <t>Email: owner@yourstore.com / Password: Store@123</t>
  </si>
  <si>
    <t>Customer is authenticated on the first attempt without switching tabs and lands directly on their storefront Dashboard with correct data</t>
  </si>
  <si>
    <t>Open login URL and confirm 'Customer Login' tab is active by default</t>
  </si>
  <si>
    <t>Verify user is redirected directly to their storefront Dashboard</t>
  </si>
  <si>
    <t>Check for all the three platforms</t>
  </si>
  <si>
    <t>TC_JRNY_04</t>
  </si>
  <si>
    <t>E2E: New Customer User first-time login through onboarding and store connection to Dashboard</t>
  </si>
  <si>
    <t>Ensure a new Customer User account exists with no store connected</t>
  </si>
  <si>
    <t>User completes Customer User login, onboarding and store connection in one continuous flow and lands on a fully-loaded Dashboard with no errors at any step</t>
  </si>
  <si>
    <t>TC_JRNY_05</t>
  </si>
  <si>
    <t>E2E: Login with 'Remember me' persists session so a reopened browser lands directly on Dashboard</t>
  </si>
  <si>
    <t>Ensure user has valid credentials and login page is open</t>
  </si>
  <si>
    <t>Session persists across browser restart; user is taken straight to Dashboard, bypassing the login form entirely, until the Remember-me token expires</t>
  </si>
  <si>
    <t>Enter valid credentials, check 'Remember me', click 'Sign In'</t>
  </si>
  <si>
    <t>Verify Dashboard loads</t>
  </si>
  <si>
    <t>Close the browser completely</t>
  </si>
  <si>
    <t>Reopen the browser and navigate to the portal URL</t>
  </si>
  <si>
    <t>Verify user lands directly on Dashboard without re-entering credentials</t>
  </si>
  <si>
    <t>TC_JRNY_06</t>
  </si>
  <si>
    <t>E2E: New Customer User first-time login via SSO, store association and redirect to Dashboard</t>
  </si>
  <si>
    <t>Ensure Customer's organization has SSO configured and the account has no store connected</t>
  </si>
  <si>
    <t>User completes SSO login, is redirected to 'Connect your store' onboarding, successfully associates a store, and is redirected to a fully-loaded Dashboard with no errors at any step</t>
  </si>
  <si>
    <t>Open login URL ('CommerceHub AI User' tab)</t>
  </si>
  <si>
    <t>Click 'Sign in with SSO' button</t>
  </si>
  <si>
    <t>Complete authentication on the Identity Provider (IdP) with valid credentials</t>
  </si>
  <si>
    <t>Get redirected back to CommerceHub AI; observe redirect to 'Connect your store' onboarding screen (Step 1 of 3)</t>
  </si>
  <si>
    <t>Select a platform (e.g. Shopify) under 'Connect Existing Platform' and click Continue</t>
  </si>
  <si>
    <t>Verify Dashboard loads with KPI cards, charts, and top navigation tabs, confirming the associated store is active</t>
  </si>
  <si>
    <t>TC_LOGOUT_01</t>
  </si>
  <si>
    <t>Verify Logout option is visible and accessible from the Dashboard</t>
  </si>
  <si>
    <t>Ensure user is logged in and Dashboard is loaded</t>
  </si>
  <si>
    <t>A clearly visible 'Logout' (or 'Sign Out') option is present in the profile dropdown menu</t>
  </si>
  <si>
    <t>Click the user/profile icon in the top-right corner</t>
  </si>
  <si>
    <t>Observe the dropdown menu</t>
  </si>
  <si>
    <t>TC_LOGOUT_02</t>
  </si>
  <si>
    <t>Verify clicking Logout terminates the session and redirects to the Login page</t>
  </si>
  <si>
    <t>User's session is terminated; user is redirected to the Login page with the default 'Customer Login' tab shown</t>
  </si>
  <si>
    <t>7/17/2026, 3:06:09 PM</t>
  </si>
  <si>
    <t>7/17/2026, 3:06:04 PM</t>
  </si>
  <si>
    <t>5.34</t>
  </si>
  <si>
    <t>Click the user/profile icon</t>
  </si>
  <si>
    <t>Click 'Logout'</t>
  </si>
  <si>
    <t>Observe the resulting page</t>
  </si>
  <si>
    <t>TC_LOGOUT_03</t>
  </si>
  <si>
    <t>Verify browser Back button after logout does not display a cached Dashboard</t>
  </si>
  <si>
    <t>Ensure user has just logged out and is on the Login page</t>
  </si>
  <si>
    <t>Browser does not display a cached/stale Dashboard view; user is shown the Login page or redirected back to it if a cached page briefly appears</t>
  </si>
  <si>
    <t>7/17/2026, 3:06:16 PM</t>
  </si>
  <si>
    <t>7/17/2026, 3:06:11 PM</t>
  </si>
  <si>
    <t>5.42</t>
  </si>
  <si>
    <t>Click the browser's Back button</t>
  </si>
  <si>
    <t>Observe the page displayed</t>
  </si>
  <si>
    <t>TC_LOGOUT_04</t>
  </si>
  <si>
    <t>Verify direct Dashboard URL access after logout redirects to Login page</t>
  </si>
  <si>
    <t>Ensure user has just logged out</t>
  </si>
  <si>
    <t>User is redirected to the Login page; Dashboard content/data is never rendered without an active session</t>
  </si>
  <si>
    <t>7/17/2026, 3:06:23 PM</t>
  </si>
  <si>
    <t>7/17/2026, 3:06:17 PM</t>
  </si>
  <si>
    <t>5.75</t>
  </si>
  <si>
    <t>Manually enter the Dashboard URL directly into the browser address bar</t>
  </si>
  <si>
    <t>Press Enter</t>
  </si>
  <si>
    <t>TC_LOGOUT_05</t>
  </si>
  <si>
    <t>Verify the state of email and password testbox persisted after logout</t>
  </si>
  <si>
    <t>Ensure user logged in earlier with 'Remember me' checked and is currently logged in</t>
  </si>
  <si>
    <t>User is shown the Login page with email auto filled.</t>
  </si>
  <si>
    <t>7/17/2026, 3:57:13 PM</t>
  </si>
  <si>
    <t>7/17/2026, 3:57:05 PM</t>
  </si>
  <si>
    <t>7.81</t>
  </si>
  <si>
    <t>Navigate to the portal URL</t>
  </si>
  <si>
    <t>TC_LOGOUT_06</t>
  </si>
  <si>
    <t>Verify logging out in one browser tab logs the user out of all open tabs/sessions</t>
  </si>
  <si>
    <t>Ensure user is logged in on two browser tabs pointing to the Dashboard</t>
  </si>
  <si>
    <t>Tab 2 also reflects the logged-out state (redirected to Login page or shows a session-expired message) once any request is made</t>
  </si>
  <si>
    <t>7/17/2026, 3:57:25 PM</t>
  </si>
  <si>
    <t>7/17/2026, 3:57:14 PM</t>
  </si>
  <si>
    <t>11.09</t>
  </si>
  <si>
    <t>In Tab 1, click 'Logout'</t>
  </si>
  <si>
    <t>Switch to Tab 2 and attempt any action or refresh the page</t>
  </si>
  <si>
    <t>TC_LOGOUT_07</t>
  </si>
  <si>
    <t>Verify user can log back in immediately after logout using the same credentials</t>
  </si>
  <si>
    <t>User is authenticated successfully and lands back on Dashboard with no lockout or residual error from the prior session</t>
  </si>
  <si>
    <t>7/17/2026, 3:56:58 PM</t>
  </si>
  <si>
    <t>6.47</t>
  </si>
  <si>
    <t>Re-enter the same valid email and password</t>
  </si>
  <si>
    <t>TC_LOGOUT_08</t>
  </si>
  <si>
    <t>Verify Logout is available and functions consistently from every Dashboard section</t>
  </si>
  <si>
    <t>Ensure user is logged in</t>
  </si>
  <si>
    <t>Logout works identically and reliably regardless of which Dashboard section the user is on when they log out</t>
  </si>
  <si>
    <t>Navigate to each top navigation tab in turn (Templates, Products, Pricing, Cart &amp; Orders, Payments, Merchandising, Rules Engine, Configuration)</t>
  </si>
  <si>
    <t>From each section, click the profile icon and select 'Logout'</t>
  </si>
  <si>
    <t>Verify session ends and user reaches the Login page</t>
  </si>
  <si>
    <t>TC_LOGOUT_09</t>
  </si>
  <si>
    <t>Verify logging out of a CommerceHub AI User session does not affect an active Customer Login session and vice versa</t>
  </si>
  <si>
    <t>Ensure a CommerceHub AI User session and a separate Customer Login session are both active (e.g. in different browsers/profiles)</t>
  </si>
  <si>
    <t>Logging out of one login type's session has no effect on the other; each session is terminated independently, confirming role-based session isolation</t>
  </si>
  <si>
    <t>Logout of the CommerceHub AI User session</t>
  </si>
  <si>
    <t>Check the Customer Login session's Dashboard remains active</t>
  </si>
  <si>
    <t>Logout of the Customer Login session</t>
  </si>
  <si>
    <t>Confirm both sessions are now independently terminated</t>
  </si>
  <si>
    <t>TC_PRODMGMT_01</t>
  </si>
  <si>
    <t>Verify Product Management page loads with default product list</t>
  </si>
  <si>
    <t>Admin user navigates to the 'Products' tab for a connected store (e.g. BigCommerce - MyStore)</t>
  </si>
  <si>
    <t>Page loads with 'Product Management' heading, 'All Products'/'Categories' tabs (All Products active), search box, status filter chips (All/Active/Inactive/Low Stock, 'All' selected by default), Export/Import/'+ Add Product' buttons, and a table of products with columns Product Name/SKU, Category, Price, Stock, Status</t>
  </si>
  <si>
    <t>Observe the page header, filters, and table</t>
  </si>
  <si>
    <t>TC_PRODMGMT_02</t>
  </si>
  <si>
    <t>Verify 'Categories' tab switches to category management view</t>
  </si>
  <si>
    <t>Product Management page is open on 'All Products' tab</t>
  </si>
  <si>
    <t>View switches to display the store's category hierarchy/management screen; 'All Products' tab becomes inactive</t>
  </si>
  <si>
    <t>Click the 'Categories' tab</t>
  </si>
  <si>
    <t>TC_PRODMGMT_03</t>
  </si>
  <si>
    <t>Verify search by product name returns matching results</t>
  </si>
  <si>
    <t>Table contains multiple products, e.g. 'Urban Explorer Backpack'</t>
  </si>
  <si>
    <t>Search text: Urban</t>
  </si>
  <si>
    <t>Table filters to show only products whose name contains 'Urban' (case-insensitive, partial match)</t>
  </si>
  <si>
    <t>Type 'Urban' into the search box</t>
  </si>
  <si>
    <t>Observe the table</t>
  </si>
  <si>
    <t>TC_PRODMGMT_04</t>
  </si>
  <si>
    <t>Verify search by SKU returns matching results</t>
  </si>
  <si>
    <t>Product Management page is open</t>
  </si>
  <si>
    <t>Search text: SKU-8420</t>
  </si>
  <si>
    <t>Table filters to show only the product with SKU-8420 ('Sleek Aluminum Bottle')</t>
  </si>
  <si>
    <t>Type 'SKU-8420' into the search box</t>
  </si>
  <si>
    <t>TC_PRODMGMT_05</t>
  </si>
  <si>
    <t>Verify search with no matches shows an empty state</t>
  </si>
  <si>
    <t>Search text: ZzzNoProduct</t>
  </si>
  <si>
    <t>Table shows a 'No products found' empty state message; no rows displayed; no error is thrown</t>
  </si>
  <si>
    <t>Type a name/SKU that does not exist, e.g. 'ZzzNoProduct'</t>
  </si>
  <si>
    <t>TC_PRODMGMT_06</t>
  </si>
  <si>
    <t>Verify search field handles special characters / SQL injection payloads safely</t>
  </si>
  <si>
    <t>' OR '1'='1</t>
  </si>
  <si>
    <t>Input is treated as literal text; no SQL error is exposed; table shows an empty/no-match state rather than all records</t>
  </si>
  <si>
    <t>Enter payload ' OR '1'='1 into the search field</t>
  </si>
  <si>
    <t>Observe the result</t>
  </si>
  <si>
    <t>TC_PRODMGMT_07</t>
  </si>
  <si>
    <t>Verify status filter chips narrow the list correctly</t>
  </si>
  <si>
    <t>Table contains Active, Inactive and Low Stock products</t>
  </si>
  <si>
    <t>Only products with Status = Low Stock are displayed (e.g. Sleek Aluminum Bottle, Graphite Notebook)</t>
  </si>
  <si>
    <t>Click the 'Low Stock' filter chip</t>
  </si>
  <si>
    <t>TC_PRODMGMT_08</t>
  </si>
  <si>
    <t>Verify 'All' filter resets the list</t>
  </si>
  <si>
    <t>A status filter (e.g. 'Active') is currently applied</t>
  </si>
  <si>
    <t>Table reverts to showing all 124 products regardless of status</t>
  </si>
  <si>
    <t>Click the 'All' filter chip</t>
  </si>
  <si>
    <t>TC_PRODMGMT_09</t>
  </si>
  <si>
    <t>Verify Status badge color coding</t>
  </si>
  <si>
    <t>Table contains products with Active, Low Stock and Out of Stock statuses</t>
  </si>
  <si>
    <t>Active = green badge, Low Stock = orange/amber badge, Out of Stock = red badge; badge text matches the underlying status and Stock value (e.g. Stock = 0 shows Out of Stock)</t>
  </si>
  <si>
    <t>Observe the Status column across rows</t>
  </si>
  <si>
    <t>TC_PRODMGMT_10</t>
  </si>
  <si>
    <t>Verify pagination controls navigate between pages</t>
  </si>
  <si>
    <t>'Showing 1-7 of 124 products' is displayed with pages 1, 2, 3 ... 18</t>
  </si>
  <si>
    <t>Table updates to show the next set of products; the active page number updates correctly; navigating past the last page or before page 1 is not possible</t>
  </si>
  <si>
    <t>Click page '2'</t>
  </si>
  <si>
    <t>Observe the table and page indicator</t>
  </si>
  <si>
    <t>Click the '&gt;' next-page arrow</t>
  </si>
  <si>
    <t>TC_PRODMGMT_11</t>
  </si>
  <si>
    <t>Verify row checkbox and 'select all' enable bulk actions</t>
  </si>
  <si>
    <t>All visible rows are selected/highlighted when 'select all' is checked; a bulk-actions control becomes available; deselecting one row updates the selection count accordingly</t>
  </si>
  <si>
    <t>Check the header checkbox to select all visible rows</t>
  </si>
  <si>
    <t>Uncheck one individual row checkbox</t>
  </si>
  <si>
    <t>TC_PRODMGMT_12</t>
  </si>
  <si>
    <t>Verify '+ Add Product' navigation</t>
  </si>
  <si>
    <t>User is navigated to the 'Add New Product' page for the currently selected store platform (e.g. BigCommerce)</t>
  </si>
  <si>
    <t>Click '+ Add Product'</t>
  </si>
  <si>
    <t>TC_PRODMGMT_13</t>
  </si>
  <si>
    <t>Verify 'Export' downloads product data matching the current filter/search</t>
  </si>
  <si>
    <t>A filter or search is applied (e.g. Status = Active)</t>
  </si>
  <si>
    <t>A file (CSV/Excel) is downloaded containing only the currently filtered/searched product set with accurate column data</t>
  </si>
  <si>
    <t>Click 'Export'</t>
  </si>
  <si>
    <t>TC_PRODMGMT_14</t>
  </si>
  <si>
    <t>Verify 'Import' processes an uploaded product file</t>
  </si>
  <si>
    <t>Products from the file are added/updated in the table; a success summary (e.g. rows imported/skipped) is shown</t>
  </si>
  <si>
    <t>Click 'Import'</t>
  </si>
  <si>
    <t>Upload a valid product file (CSV)</t>
  </si>
  <si>
    <t>Confirm import</t>
  </si>
  <si>
    <t>TC_PRODMGMT_15</t>
  </si>
  <si>
    <t>Verify AI Smart Analysis banner shows a relevant insight and 'Apply Optimization Strategy' executes it</t>
  </si>
  <si>
    <t>Product Management page is open with sufficient catalog data</t>
  </si>
  <si>
    <t>Banner text reflects an accurate, data-driven insight (e.g. category profit margin vs. stock level); clicking the action applies/queues the suggested optimization and confirms to the user</t>
  </si>
  <si>
    <t>Observe the AI Smart Analysis banner</t>
  </si>
  <si>
    <t>Click 'Apply Optimization Strategy'</t>
  </si>
  <si>
    <t>TC_PRODMGMT_16</t>
  </si>
  <si>
    <t>Verify 'Ask AI' opens the AI assistant for product queries</t>
  </si>
  <si>
    <t>An AI assistant chat panel opens, allowing the admin to ask questions about products/inventory</t>
  </si>
  <si>
    <t>Click the '+ Ask AI' button</t>
  </si>
  <si>
    <t>TC_PRODMGMT_17</t>
  </si>
  <si>
    <t>Verify the store switcher changes the displayed product catalog</t>
  </si>
  <si>
    <t>Admin manages more than one connected store</t>
  </si>
  <si>
    <t>Table refreshes to show only the newly selected store's products; total product count updates to match that store's catalog</t>
  </si>
  <si>
    <t>Click the store switcher ('BigCommerce - MyStore')</t>
  </si>
  <si>
    <t>Select a different connected store</t>
  </si>
  <si>
    <t>TC_PRODMGMT_18</t>
  </si>
  <si>
    <t>Verify that after a store sync, all products are displayed without any data loss</t>
  </si>
  <si>
    <t>A store sync (e.g. via Connect Store wizard or manual re-sync) has just completed for a store with a known catalog size on the source platform</t>
  </si>
  <si>
    <t>The total product count in CommerceHub AI exactly matches the source platform's catalog count (e.g. 124 of 124); no products are missing after sync</t>
  </si>
  <si>
    <t>Note the product count on the source platform (e.g. BigCommerce admin)</t>
  </si>
  <si>
    <t>Navigate to Product Management for the synced store</t>
  </si>
  <si>
    <t>Compare the total product count shown</t>
  </si>
  <si>
    <t>TC_PRODMGMT_19</t>
  </si>
  <si>
    <t>Verify synced product attributes are accurate with no truncation or mismatch</t>
  </si>
  <si>
    <t>A store sync has completed</t>
  </si>
  <si>
    <t>All compared fields match exactly between CommerceHub AI and the source platform; no truncated text, rounded prices, or incorrect stock counts</t>
  </si>
  <si>
    <t>Select a sample of synced products (e.g. Urban Explorer Backpack, SKU-8421)</t>
  </si>
  <si>
    <t>Compare Product Name, SKU, Category, Price and Stock against the source platform record</t>
  </si>
  <si>
    <t>TC_PRODMGMT_20</t>
  </si>
  <si>
    <t>Verify products added on the source platform appear after re-sync without duplication</t>
  </si>
  <si>
    <t>A store was previously synced; 2 new products are then added directly on the source platform</t>
  </si>
  <si>
    <t>The 2 new products appear exactly once each in the table; no duplicate rows are created for previously-synced products</t>
  </si>
  <si>
    <t>Trigger a re-sync for the store</t>
  </si>
  <si>
    <t>Search for the newly added products in Product Management</t>
  </si>
  <si>
    <t>TC_PRODMGMT_21</t>
  </si>
  <si>
    <t>Verify products deleted on the source platform are reflected correctly after sync</t>
  </si>
  <si>
    <t>A product that was previously synced is deleted on the source platform</t>
  </si>
  <si>
    <t>The deleted product is removed from the table (or clearly marked as inactive/unavailable, per the platform's defined behavior) rather than remaining as a stale/orphaned active record</t>
  </si>
  <si>
    <t>Search for the deleted product's SKU in Product Management</t>
  </si>
  <si>
    <t>TC_PRODMGMT_22</t>
  </si>
  <si>
    <t>Verify a partial sync failure does not silently drop products</t>
  </si>
  <si>
    <t>A sync run encounters an error partway through (e.g. API timeout on a subset of products)</t>
  </si>
  <si>
    <t>Successfully-synced products are displayed; an explicit error/warning indicates which products failed to sync and offers a retry, rather than silently omitting them with no indication</t>
  </si>
  <si>
    <t>Observe the Product Management page and any sync-status indicator after the partial failure</t>
  </si>
  <si>
    <t>TC_PRODMGMT_23</t>
  </si>
  <si>
    <t>Verify a manually added product successfully displays on the Product Management table</t>
  </si>
  <si>
    <t>Admin has created a new product via the 'Add New Product' page (e.g. Urban Explorer Backpack, SKU-8421)</t>
  </si>
  <si>
    <t>The manually added product appears in the table with the exact Product Name, SKU, Category, Price, Stock and Status entered on the Add New Product page; no data is missing or altered</t>
  </si>
  <si>
    <t>Save the product from Add New Product</t>
  </si>
  <si>
    <t>Return to Product Management</t>
  </si>
  <si>
    <t>Search for the new product's name or SKU</t>
  </si>
  <si>
    <t>TC_PRODMGMT_24</t>
  </si>
  <si>
    <t>Verify empty state is shown when a store has zero products (before first sync)</t>
  </si>
  <si>
    <t>A newly connected store has not yet completed its initial product sync</t>
  </si>
  <si>
    <t>Table shows an empty state indicating no products are available yet / sync in progress, rather than an error or blank/broken table</t>
  </si>
  <si>
    <t>Navigate to Product Management for that store</t>
  </si>
  <si>
    <t>TC_PRODMGMT_25</t>
  </si>
  <si>
    <t>Verify a large catalog loads without performance degradation or timeout</t>
  </si>
  <si>
    <t>A store with a large catalog (124+ products) is selected</t>
  </si>
  <si>
    <t>kathir1@arizon.digital,password,Bagpack,7800,American Tourister,100,120,80,Nothing,102,2,2,2,5</t>
  </si>
  <si>
    <t>Page and pagination load within acceptable response time; no timeout errors occur; row counts and totals remain consistent across pages</t>
  </si>
  <si>
    <t xml:space="preserve">locator.selectOption: Timeout 15000ms exceeded.
Call log:
_x001b_[2m  - waiting for locator('section').filter({ hasText: 'CategoriesSelect a' }).getByRole('combobox')_x001b_[22m
_x001b_[2m    - locator resolved to &lt;select required="" class="h-11 w-full rounded-xl border border-[#DCE5EC] bg-white px-3 text-sm text-[#22354F] outline-none focus:border-[#20B8B0]"&gt;…&lt;/select&gt;_x001b_[22m
_x001b_[2m  - attempting select option action_x001b_[22m
_x001b_[2m    2 × waiting for element to be visible and enabled_x001b_[22m
_x001b_[2m      - did not find some options_x001b_[22m
_x001b_[2m    - retrying select option action_x001b_[22m
_x001b_[2m    - waiting 20ms_x001b_[22m
_x001b_[2m    2 × waiting for element to be visible and enabled_x001b_[22m
_x001b_[2m      - did not find some options_x001b_[22m
_x001b_[2m    - retrying select option action_x001b_[22m
_x001b_[2m      - waiting 100ms_x001b_[22m
_x001b_[2m    29 × waiting for element to be visible and enabled_x001b_[22m
_x001b_[2m       - did not find some options_x001b_[22m
_x001b_[2m     - retrying select option action_x001b_[22m
_x001b_[2m       - waiting 500ms_x001b_[22m
</t>
  </si>
  <si>
    <t>7/17/2026, 5:11:20 PM</t>
  </si>
  <si>
    <t>Fail</t>
  </si>
  <si>
    <t>7/17/2026, 5:11:02 PM</t>
  </si>
  <si>
    <t>18.38</t>
  </si>
  <si>
    <t>Load the Product Management page</t>
  </si>
  <si>
    <t>Navigate through several pages of results</t>
  </si>
  <si>
    <t>TC_ADDPROD_01</t>
  </si>
  <si>
    <t>Verify Add New Product page loads with default/empty state</t>
  </si>
  <si>
    <t>Admin clicks '+ Add Product' from Product Management for a BigCommerce store</t>
  </si>
  <si>
    <t>Page shows 'Add New Product' heading with 'BigCommerce' badge, Cancel/Save Product buttons, an empty AI Product Builder chat box, empty Basic Information fields, 'Visible on storefront' toggle ON with Publication Status 'Active', and empty Pricing fields</t>
  </si>
  <si>
    <t>Observe the page</t>
  </si>
  <si>
    <t>TC_ADDPROD_02</t>
  </si>
  <si>
    <t>Verify AI Product Builder auto-fills fields accurately from a natural-language description</t>
  </si>
  <si>
    <t>Add New Product page is open</t>
  </si>
  <si>
    <t>'I want to add an Urban Explorer Backpack, it is a waterproof travel backpack made from aluminum alloy frame with nylon exterior. Price it at $124.50 with a compare price of $149.99. It is in the Luggage &gt; Backpacks &gt; Travel category. SKU is 8421. We have 842 in stock at the Main Distribution warehouse.'</t>
  </si>
  <si>
    <t>AI responds with a summary table (Product Name, SKU, Price, Stock, Category, Compare Price, Location, Material) matching the description, confirms the count of fields auto-filled (e.g. '12 fields auto-filled including SEO metadata and custom fields'), and offers 'Review &amp; Edit Fields Below' / 'Save Product Directly'</t>
  </si>
  <si>
    <t>Type a detailed product description including name, material, price, compare price, category, SKU and stock into the AI chat box</t>
  </si>
  <si>
    <t>TC_ADDPROD_03</t>
  </si>
  <si>
    <t>Verify 'Review &amp; Edit Fields Below' populates the form sections with the AI-extracted data</t>
  </si>
  <si>
    <t>AI Product Builder has auto-filled fields (per TC_ADDPROD_02)</t>
  </si>
  <si>
    <t>Basic Information, Pricing, Inventory, Shipping and Categories sections below are pre-filled with values matching the AI response table exactly, and remain editable</t>
  </si>
  <si>
    <t>Click 'Review &amp; Edit Fields Below'</t>
  </si>
  <si>
    <t>TC_ADDPROD_04</t>
  </si>
  <si>
    <t>Verify 'Save Product Directly' creates the product from AI-extracted data without manual review</t>
  </si>
  <si>
    <t>AI Product Builder has auto-filled fields</t>
  </si>
  <si>
    <t>Product is created using the AI-extracted values without requiring the admin to scroll through/edit the form manually; user is redirected to Product Management with the new product visible</t>
  </si>
  <si>
    <t>Click 'Save Product Directly'</t>
  </si>
  <si>
    <t>TC_ADDPROD_05</t>
  </si>
  <si>
    <t>Verify AI chat quick-action shortcuts open the correct flow</t>
  </si>
  <si>
    <t>'Add from CSV' opens a file-upload dialog; 'Clone existing product' opens a product picker and pre-fills the form from the selection; 'Import from BigCommerce' pulls a product's data from the connected store into the form</t>
  </si>
  <si>
    <t>Click 'Add from CSV'</t>
  </si>
  <si>
    <t>Click 'Clone existing product'</t>
  </si>
  <si>
    <t>Click 'Import from BigCommerce'</t>
  </si>
  <si>
    <t>TC_ADDPROD_06</t>
  </si>
  <si>
    <t>Verify 'Collapse' toggles the AI Product Builder panel</t>
  </si>
  <si>
    <t>AI Product Builder panel is expanded</t>
  </si>
  <si>
    <t>Panel collapses to a compact header on first click and re-expands to show the full chat/fields on the second click; any previously entered chat history is preserved</t>
  </si>
  <si>
    <t>Click 'Collapse'</t>
  </si>
  <si>
    <t>Click again to expand</t>
  </si>
  <si>
    <t>TC_ADDPROD_07</t>
  </si>
  <si>
    <t>Verify mandatory field validation when Product Name is blank</t>
  </si>
  <si>
    <t>'Product Name is required' validation error is shown; product is not saved</t>
  </si>
  <si>
    <t>Leave 'Product Name' blank</t>
  </si>
  <si>
    <t>Fill other mandatory fields</t>
  </si>
  <si>
    <t>Click 'Save Product'</t>
  </si>
  <si>
    <t>TC_ADDPROD_08</t>
  </si>
  <si>
    <t>Verify mandatory field validation when SKU is blank</t>
  </si>
  <si>
    <t>'SKU is required' validation error is shown; product is not saved</t>
  </si>
  <si>
    <t>Leave 'SKU' blank</t>
  </si>
  <si>
    <t>TC_ADDPROD_09</t>
  </si>
  <si>
    <t>Verify a duplicate SKU is rejected</t>
  </si>
  <si>
    <t>A product with SKU-8421 already exists in the connected store</t>
  </si>
  <si>
    <t>SKU: SKU-8421</t>
  </si>
  <si>
    <t>Validation error indicates the SKU already exists; product is not saved</t>
  </si>
  <si>
    <t>Enter SKU-8421 for a new product</t>
  </si>
  <si>
    <t>TC_ADDPROD_10</t>
  </si>
  <si>
    <t>Verify Product Type and Brand fields function correctly</t>
  </si>
  <si>
    <t>Brand: Explorer Co.</t>
  </si>
  <si>
    <t>Product Type dropdown lists the correct predefined options (e.g. Physical, Digital); selected value persists; Brand accepts free text and is saved with the product</t>
  </si>
  <si>
    <t>Open the 'Product Type' dropdown and select 'Physical'</t>
  </si>
  <si>
    <t>Enter a value in 'Brand'</t>
  </si>
  <si>
    <t>TC_ADDPROD_11</t>
  </si>
  <si>
    <t>Verify 'Visible on storefront' toggle updates Publication Status live</t>
  </si>
  <si>
    <t>Add New Product page is open with the toggle ON ('Active')</t>
  </si>
  <si>
    <t>Publication Status label updates immediately (e.g. from 'Active' to 'Draft'/'Inactive') to reflect the toggle state</t>
  </si>
  <si>
    <t>Click the 'Visible on storefront' toggle to turn it off</t>
  </si>
  <si>
    <t>TC_ADDPROD_12</t>
  </si>
  <si>
    <t>Verify Price field rejects non-numeric or negative values</t>
  </si>
  <si>
    <t>Price: -10</t>
  </si>
  <si>
    <t>Validation error is shown indicating Price must be a valid positive number; product is not saved</t>
  </si>
  <si>
    <t>Enter a negative value or letters in the 'Price' field, e.g. '-10' or 'abc'</t>
  </si>
  <si>
    <t>TC_ADDPROD_13</t>
  </si>
  <si>
    <t>Verify Compare At Price lower than Price is flagged</t>
  </si>
  <si>
    <t>Price is set to $124.50</t>
  </si>
  <si>
    <t>Price: $124.50, Compare At Price: $100.00</t>
  </si>
  <si>
    <t>A warning/validation message indicates Compare At Price should be greater than or equal to Price, since it represents the pre-discount price</t>
  </si>
  <si>
    <t>Enter a Compare At Price lower than the Price, e.g. $100.00</t>
  </si>
  <si>
    <t>Attempt to save</t>
  </si>
  <si>
    <t>TC_ADDPROD_14</t>
  </si>
  <si>
    <t>Verify product image upload accepts supported formats via drag-and-drop and click-to-upload</t>
  </si>
  <si>
    <t>Add New Product page is open, Product Images section visible</t>
  </si>
  <si>
    <t>Both images are uploaded successfully; the 'X Images Uploaded' count increments correctly and thumbnails with captions are displayed</t>
  </si>
  <si>
    <t>Drag and drop a JPG/PNG/WEBP image under 5MB onto the upload area</t>
  </si>
  <si>
    <t>Click 'click to upload' and select another valid image</t>
  </si>
  <si>
    <t>TC_ADDPROD_15</t>
  </si>
  <si>
    <t>Verify oversized or unsupported image files are rejected</t>
  </si>
  <si>
    <t>Both uploads are rejected with a clear error message (file size/format not supported); no broken thumbnail is added</t>
  </si>
  <si>
    <t>Attempt to upload a file larger than 5MB</t>
  </si>
  <si>
    <t>Attempt to upload an unsupported format, e.g. .gif or .pdf</t>
  </si>
  <si>
    <t>TC_ADDPROD_16</t>
  </si>
  <si>
    <t>Verify deleting an uploaded image removes it and updates the count</t>
  </si>
  <si>
    <t>'3 Images Uploaded' is shown with 3 thumbnails</t>
  </si>
  <si>
    <t>The selected image is removed; remaining thumbnails stay intact; the uploaded-count label updates to '2 Images Uploaded'</t>
  </si>
  <si>
    <t>Click the red delete icon on one thumbnail (e.g. 'Backpack Side')</t>
  </si>
  <si>
    <t>TC_ADDPROD_17</t>
  </si>
  <si>
    <t>Verify Custom Fields can be added and removed</t>
  </si>
  <si>
    <t>Add New Product page is open, Custom Fields section visible</t>
  </si>
  <si>
    <t>Key: Color, Value: Black</t>
  </si>
  <si>
    <t>A new editable key/value row is added and its data is saved with the product; the deleted row is removed from the list without affecting other rows</t>
  </si>
  <si>
    <t>Click '+ Add Custom Field'</t>
  </si>
  <si>
    <t>Enter a key and value</t>
  </si>
  <si>
    <t>Click the delete icon on an existing custom field row</t>
  </si>
  <si>
    <t>TC_ADDPROD_18</t>
  </si>
  <si>
    <t>Verify 'Track Inventory' toggle off disables Current Stock and Low Stock Alert fields</t>
  </si>
  <si>
    <t>'Track Inventory' toggle is ON with Current Stock = 842</t>
  </si>
  <si>
    <t>Current Stock and Low Stock Alert fields become disabled/hidden, and the product is treated as not tracking inventory (no Low Stock/Out of Stock status applied) once saved</t>
  </si>
  <si>
    <t>Toggle 'Track Inventory' off</t>
  </si>
  <si>
    <t>TC_ADDPROD_19</t>
  </si>
  <si>
    <t>Verify Current Stock field rejects negative or non-integer values</t>
  </si>
  <si>
    <t>'Track Inventory' is ON</t>
  </si>
  <si>
    <t>Current Stock: -5</t>
  </si>
  <si>
    <t>Validation error is shown indicating Current Stock must be a non-negative whole number; product is not saved</t>
  </si>
  <si>
    <t>Enter a negative or decimal value in 'Current Stock', e.g. '-5' or '3.5'</t>
  </si>
  <si>
    <t>TC_ADDPROD_20</t>
  </si>
  <si>
    <t>Verify the Categories checkbox tree supports parent/child selection</t>
  </si>
  <si>
    <t>Categories section shows a tree (Luggage &gt; Backpacks &gt; Travel/Laptop/Suitcases, Apparel, etc.)</t>
  </si>
  <si>
    <t>Both 'Luggage' and 'Travel' (under Backpacks) are checked and saved as the product's categories; unchecked sibling categories ('Laptop', 'Suitcases') remain unselected</t>
  </si>
  <si>
    <t>Check 'Luggage'</t>
  </si>
  <si>
    <t>Expand and check 'Backpacks &gt; Travel'</t>
  </si>
  <si>
    <t>Leave 'Laptop' and 'Suitcases' unchecked</t>
  </si>
  <si>
    <t>TC_ADDPROD_21</t>
  </si>
  <si>
    <t>Verify Meta Fields support varied value types</t>
  </si>
  <si>
    <t>Meta Fields section is visible</t>
  </si>
  <si>
    <t>Array and boolean values are accepted, stored, and displayed correctly in the Meta Fields table without being coerced to plain text incorrectly</t>
  </si>
  <si>
    <t>Click '+ Add Meta Field'</t>
  </si>
  <si>
    <t>Add a namespace/key/value of type array (e.g. color_options: ["Silver","Black"])</t>
  </si>
  <si>
    <t>Add another of type boolean (e.g. assembly_required: true)</t>
  </si>
  <si>
    <t>TC_ADDPROD_22</t>
  </si>
  <si>
    <t>Verify SEO Page Title and Meta Description character counters behave correctly</t>
  </si>
  <si>
    <t>SEO Settings section is visible</t>
  </si>
  <si>
    <t>Character counters (e.g. '47/70', '128/160') update live as text is entered and visually flag when the field is near or over its limit</t>
  </si>
  <si>
    <t>Type into 'Page Title' until nearing the 70-character limit</t>
  </si>
  <si>
    <t>Type into 'Meta Description' until nearing the 160-character limit</t>
  </si>
  <si>
    <t>TC_ADDPROD_23</t>
  </si>
  <si>
    <t>Verify 'AI Generate SEO' populates SEO fields and updates the live preview</t>
  </si>
  <si>
    <t>Basic product information has been entered/AI-filled</t>
  </si>
  <si>
    <t>Page Title, Meta Description and URL Handle are auto-populated with SEO-optimized values based on the product data, and the 'Search Engine Preview' snippet updates to reflect the new title/URL/description</t>
  </si>
  <si>
    <t>Click 'AI Generate SEO'</t>
  </si>
  <si>
    <t>TC_ADDPROD_24</t>
  </si>
  <si>
    <t>Verify AI Assistant suggestions apply correctly when selected</t>
  </si>
  <si>
    <t>AI Assistant panel shows suggestions: 'Improve product title for SEO', 'Suggest 5 more custom fields', 'Draft a more engaging description'</t>
  </si>
  <si>
    <t>Page Title updates with an AI-improved value; 5 new Custom Field rows are added; Full/Short Description text is replaced or supplemented with a more engaging AI-drafted version</t>
  </si>
  <si>
    <t>Click 'Improve product title for SEO'</t>
  </si>
  <si>
    <t>Click 'Suggest 5 more custom fields'</t>
  </si>
  <si>
    <t>Click 'Draft a more engaging description'</t>
  </si>
  <si>
    <t>TC_ADDPROD_25</t>
  </si>
  <si>
    <t>Verify 'Save Product' with valid data creates the product and it displays correctly in Product Management</t>
  </si>
  <si>
    <t>All mandatory fields (Product Name, SKU, Price, etc.) are filled with valid data</t>
  </si>
  <si>
    <t>Product is created successfully; user is redirected to Product Management; the new product appears in the table with the exact Product Name, SKU, Category, Price, Stock and Status entered, with no data missing or altered</t>
  </si>
  <si>
    <t>Cannot read properties of undefined (reading 'split')</t>
  </si>
  <si>
    <t>7/17/2026, 4:52:11 PM</t>
  </si>
  <si>
    <t>0.18</t>
  </si>
  <si>
    <t>Navigate to Product Management</t>
  </si>
  <si>
    <t>Search for the newly created product</t>
  </si>
  <si>
    <t>TC_ADDPROD_26</t>
  </si>
  <si>
    <t>Verify 'Cancel' discards all entered data</t>
  </si>
  <si>
    <t>Several fields (Basic Information, Pricing, Images) have been filled in</t>
  </si>
  <si>
    <t>User is returned to Product Management page; no new product is created; no partial/draft product record is saved</t>
  </si>
  <si>
    <t>Click 'Cancel'</t>
  </si>
  <si>
    <t>TC_ADDPROD_27</t>
  </si>
  <si>
    <t>Verify script/HTML injection in Product Name and Description fields is sanitized</t>
  </si>
  <si>
    <t>&lt;script&gt;alert(1)&lt;/script&gt;</t>
  </si>
  <si>
    <t>Input is escaped/sanitized on save and display; no script executes; no stored XSS occurs</t>
  </si>
  <si>
    <t>Enter '&lt;script&gt;alert(1)&lt;/script&gt;' in 'Product Name' and 'Full Description'</t>
  </si>
  <si>
    <t>Save</t>
  </si>
  <si>
    <t>Comments</t>
  </si>
  <si>
    <t>TC_ADDSTORE_01</t>
  </si>
  <si>
    <t>Add a first store to the account</t>
  </si>
  <si>
    <t>User has no store connected yet</t>
  </si>
  <si>
    <t>User can pick a platform and connect a store. Store appears on the dashboard after connecting.</t>
  </si>
  <si>
    <t>Click 'Add Store'</t>
  </si>
  <si>
    <t>Select BigCommerce as the platform</t>
  </si>
  <si>
    <t>Enter valid store details and connect</t>
  </si>
  <si>
    <t>Check the store now appears on the dashboard</t>
  </si>
  <si>
    <t>TC_ADDSTORE_02</t>
  </si>
  <si>
    <t>Add a second store on a different platform</t>
  </si>
  <si>
    <t>User already has one BigCommerce store connected</t>
  </si>
  <si>
    <t>User can connect a second store on Shopify. Both stores show up in the store list. First store's data is not affected.</t>
  </si>
  <si>
    <t>Click 'Add Store' again</t>
  </si>
  <si>
    <t>Select Shopify as the platform</t>
  </si>
  <si>
    <t>Check both stores are listed</t>
  </si>
  <si>
    <t>Check the first store's data is unchanged</t>
  </si>
  <si>
    <t>TC_ADDSTORE_03</t>
  </si>
  <si>
    <t>Add a third store on a third platform</t>
  </si>
  <si>
    <t>User already has BigCommerce and Shopify stores connected</t>
  </si>
  <si>
    <t>User can connect a third store on Shopware. All three stores show up. 'All Stores' count updates to 3.</t>
  </si>
  <si>
    <t>Select Shopware as the platform</t>
  </si>
  <si>
    <t>Check all 3 stores are listed</t>
  </si>
  <si>
    <t>Check the store switcher shows 'All Stores (3)'</t>
  </si>
  <si>
    <t>TC_ADDSTORE_04</t>
  </si>
  <si>
    <t>Verify KPI totals update after adding a new store</t>
  </si>
  <si>
    <t>User has 2 stores connected with known revenue</t>
  </si>
  <si>
    <t>After adding and syncing a third store, the total revenue and order numbers go up by that store's amount.</t>
  </si>
  <si>
    <t>Note current Total Revenue and Total Orders</t>
  </si>
  <si>
    <t>Add a new store and wait for sync to finish</t>
  </si>
  <si>
    <t>Check Total Revenue increased by the new store's revenue</t>
  </si>
  <si>
    <t>Check Total Orders increased by the new store's order count</t>
  </si>
  <si>
    <t>TC_ADDSTORE_05</t>
  </si>
  <si>
    <t>Try adding a store with missing details</t>
  </si>
  <si>
    <t>User clicks 'Add Store' and opens the connect form</t>
  </si>
  <si>
    <t>Store URL left blank</t>
  </si>
  <si>
    <t>Form shows an error and does not connect. User stays on the same screen to fix it.</t>
  </si>
  <si>
    <t>Leave the Store URL field blank</t>
  </si>
  <si>
    <t>Check an error message appears</t>
  </si>
  <si>
    <t>Check the store is not added</t>
  </si>
  <si>
    <t>TC_ADDSTORE_06</t>
  </si>
  <si>
    <t>Try adding a store with wrong login details</t>
  </si>
  <si>
    <t>User is adding a new store</t>
  </si>
  <si>
    <t>Wrong API key or access token</t>
  </si>
  <si>
    <t>Connection fails with a clear error. No store is added.</t>
  </si>
  <si>
    <t>Enter an invalid API key or token</t>
  </si>
  <si>
    <t>Check an error message is shown</t>
  </si>
  <si>
    <t>Check no new store appears in the list</t>
  </si>
  <si>
    <t>TC_ADDSTORE_07</t>
  </si>
  <si>
    <t>Try adding the same store twice</t>
  </si>
  <si>
    <t>A BigCommerce store is already connected</t>
  </si>
  <si>
    <t>Same store URL as the connected store</t>
  </si>
  <si>
    <t>App blocks the duplicate and shows a message. No second copy of the store is created.</t>
  </si>
  <si>
    <t>Try to connect the same store URL again</t>
  </si>
  <si>
    <t>Check a 'store already connected' message appears</t>
  </si>
  <si>
    <t>Check only one copy of the store exists in the list</t>
  </si>
  <si>
    <t>TC_ADDSTORE_08</t>
  </si>
  <si>
    <t>Cancel adding a store midway</t>
  </si>
  <si>
    <t>User has started the add-store form but not submitted it</t>
  </si>
  <si>
    <t>Closing or cancelling the form does not create a store and does not affect existing stores.</t>
  </si>
  <si>
    <t>Start the add-store form and fill in some fields</t>
  </si>
  <si>
    <t>Click 'Cancel' or close the form</t>
  </si>
  <si>
    <t>Check no new store was created</t>
  </si>
  <si>
    <t>Check existing stores are unaffected</t>
  </si>
  <si>
    <t>TC_ADDSTORE_09</t>
  </si>
  <si>
    <t>Add stores up to the plan limit</t>
  </si>
  <si>
    <t>The account's plan allows a limited number of stores (for example 5)</t>
  </si>
  <si>
    <t>User can add stores up to the limit. Trying to add one more past the limit is blocked with a clear message.</t>
  </si>
  <si>
    <t>Add stores until the plan limit is reached</t>
  </si>
  <si>
    <t>Try to add one more store</t>
  </si>
  <si>
    <t>Check the app blocks it and explains the limit</t>
  </si>
  <si>
    <t>Check an upgrade option is shown, if available</t>
  </si>
  <si>
    <t>TC_ADDSTORE_10</t>
  </si>
  <si>
    <t>Remove a store and add it back</t>
  </si>
  <si>
    <t>User has 3 stores connected</t>
  </si>
  <si>
    <t>Removing a store takes it off the list. Adding it again reconnects it and its data starts syncing again.</t>
  </si>
  <si>
    <t>Remove one connected store</t>
  </si>
  <si>
    <t>Check it disappears from the store list</t>
  </si>
  <si>
    <t>Add the same store again</t>
  </si>
  <si>
    <t>Check it reconnects and starts syncing</t>
  </si>
  <si>
    <t>TC_ADDSTORE_11</t>
  </si>
  <si>
    <t>Add a store while another store is still syncing</t>
  </si>
  <si>
    <t>One store is mid-sync when the user starts adding a new store</t>
  </si>
  <si>
    <t>Adding a new store does not stop or break the sync in progress. Both syncs complete correctly.</t>
  </si>
  <si>
    <t>Start adding a new store while another store is syncing</t>
  </si>
  <si>
    <t>Finish connecting the new store</t>
  </si>
  <si>
    <t>Check the first store's sync still finishes normally</t>
  </si>
  <si>
    <t>Check the new store starts its own sync</t>
  </si>
  <si>
    <t>TC_ADDSTORE_12</t>
  </si>
  <si>
    <t>Check store count updates in real time across the app</t>
  </si>
  <si>
    <t>User is on the dashboard when a new store is added</t>
  </si>
  <si>
    <t>The store count in the header switcher and on the store list both update to match, without needing a full page reload.</t>
  </si>
  <si>
    <t>Add a new store</t>
  </si>
  <si>
    <t>Check the header switcher count updates</t>
  </si>
  <si>
    <t>Check the store list also shows the new store</t>
  </si>
  <si>
    <t>TC_OVTABS_01</t>
  </si>
  <si>
    <t>Verify store switcher shows correct store count</t>
  </si>
  <si>
    <t>Account has 3 connected stores</t>
  </si>
  <si>
    <t>Store switcher shows 'All Stores (3)'. Opening it lists all 3 stores by name.</t>
  </si>
  <si>
    <t>Log in with an account that has 3 connected stores</t>
  </si>
  <si>
    <t>Check the switcher shows 'All Stores (3)'</t>
  </si>
  <si>
    <t>Open the dropdown and check all 3 stores are listed</t>
  </si>
  <si>
    <t>TC_OVTABS_02</t>
  </si>
  <si>
    <t>Switch between Company Overview and Store Analytics tabs</t>
  </si>
  <si>
    <t>User is on the Dashboard with 'All Stores' selected</t>
  </si>
  <si>
    <t>Both tabs are clickable. The active tab is highlighted. Content changes when switching tabs.</t>
  </si>
  <si>
    <t>Check 'Company Overview' is selected by default</t>
  </si>
  <si>
    <t>Click 'Store Analytics'</t>
  </si>
  <si>
    <t>Check the tab becomes active and content changes</t>
  </si>
  <si>
    <t>Click back to 'Company Overview' and check it restores</t>
  </si>
  <si>
    <t>TC_OVTABS_03</t>
  </si>
  <si>
    <t>Select one store from the switcher</t>
  </si>
  <si>
    <t>User is on Company Overview with 'All Stores' selected</t>
  </si>
  <si>
    <t>Picking one store opens that store's own dashboard. Numbers shown match that store only, not the combined total.</t>
  </si>
  <si>
    <t>Open the store switcher and pick one store</t>
  </si>
  <si>
    <t>Check the single-store dashboard loads</t>
  </si>
  <si>
    <t>Check the numbers match that store, not all stores combined</t>
  </si>
  <si>
    <t>TC_OVTABS_04</t>
  </si>
  <si>
    <t>Change the date range filter</t>
  </si>
  <si>
    <t>Data exists for more than 30 days</t>
  </si>
  <si>
    <t>Change from Last 30 Days to Last 90 Days</t>
  </si>
  <si>
    <t>All widgets on the page update to the new date range. No widget is left showing old data.</t>
  </si>
  <si>
    <t>Note current values under 'Last 30 Days'</t>
  </si>
  <si>
    <t>Change the range to 'Last 90 Days'</t>
  </si>
  <si>
    <t>Check every widget on the page updates</t>
  </si>
  <si>
    <t>TC_OVTABS_05</t>
  </si>
  <si>
    <t>Verify the company name on the overview page</t>
  </si>
  <si>
    <t>User is logged in to their own account</t>
  </si>
  <si>
    <t>Page shows the logged-in user's own company name, not another account's name or a placeholder.</t>
  </si>
  <si>
    <t>Load the Company Overview page</t>
  </si>
  <si>
    <t>Check the company name matches the logged-in account</t>
  </si>
  <si>
    <t>TC_OVKPI_01</t>
  </si>
  <si>
    <t>Verify Total Revenue equals the sum of all stores</t>
  </si>
  <si>
    <t>3 stores have known revenue</t>
  </si>
  <si>
    <t>Example: Store A $124,580, Store B $168,340, Store C $94,500</t>
  </si>
  <si>
    <t>Total Revenue card shows the exact sum of all connected stores' revenue. No amount is missing or doubled.</t>
  </si>
  <si>
    <t>Note each store's revenue</t>
  </si>
  <si>
    <t>Add them up manually</t>
  </si>
  <si>
    <t>Check the Total Revenue card matches the sum</t>
  </si>
  <si>
    <t>TC_OVKPI_02</t>
  </si>
  <si>
    <t>Verify Total Orders, Active Products, and Total Customers add up correctly</t>
  </si>
  <si>
    <t>Per-store order, product, and customer counts are known</t>
  </si>
  <si>
    <t>Total Orders equals the sum of all stores' orders. Active Products and Total Customers also add up correctly. A shared customer is not counted twice unless the app is designed to count them separately.</t>
  </si>
  <si>
    <t>Sum per-store order counts and compare to Total Orders</t>
  </si>
  <si>
    <t>Check Active Products totals correctly</t>
  </si>
  <si>
    <t>Check Total Customers handles a customer who shops on more than one store</t>
  </si>
  <si>
    <t>TC_OVKPI_03</t>
  </si>
  <si>
    <t>Verify growth percentage on each KPI card</t>
  </si>
  <si>
    <t>Current and prior period data is available for all stores</t>
  </si>
  <si>
    <t>Each growth percentage matches (this period minus last period) divided by last period.</t>
  </si>
  <si>
    <t>Calculate growth manually for each KPI</t>
  </si>
  <si>
    <t>Compare to the percentage shown on each card</t>
  </si>
  <si>
    <t>TC_OVKPI_04</t>
  </si>
  <si>
    <t>Verify KPIs update when a store is removed</t>
  </si>
  <si>
    <t>Multiple stores are connected and contributing to the totals</t>
  </si>
  <si>
    <t>Removing a store drops its numbers from all KPI totals right away. No leftover numbers stay behind.</t>
  </si>
  <si>
    <t>Note current KPI totals</t>
  </si>
  <si>
    <t>Remove one store</t>
  </si>
  <si>
    <t>Check totals go down by exactly that store's numbers</t>
  </si>
  <si>
    <t>TC_OVKPI_05</t>
  </si>
  <si>
    <t>Verify KPIs work correctly with only 1 store connected</t>
  </si>
  <si>
    <t>Account has only 1 connected store</t>
  </si>
  <si>
    <t>KPI cards simply show that one store's numbers. No errors or broken charts appear.</t>
  </si>
  <si>
    <t>Set up an account with 1 connected store</t>
  </si>
  <si>
    <t>Load Company Overview</t>
  </si>
  <si>
    <t>Check all cards and charts render correctly</t>
  </si>
  <si>
    <t>TC_STORECMP_01</t>
  </si>
  <si>
    <t>Verify each store card shows correct details</t>
  </si>
  <si>
    <t>Stores are connected on BigCommerce, Shopify, and Shopware</t>
  </si>
  <si>
    <t>Each card shows the right platform, store name, status, revenue, orders, and health score, matching that store's real data.</t>
  </si>
  <si>
    <t>Load the store comparison section</t>
  </si>
  <si>
    <t>Check each card's platform and name</t>
  </si>
  <si>
    <t>Compare each card's revenue, orders, and health score to that store's own dashboard</t>
  </si>
  <si>
    <t>TC_STORECMP_02</t>
  </si>
  <si>
    <t>Verify Active vs Syncing status badges</t>
  </si>
  <si>
    <t>One store is fully synced, another is mid-sync</t>
  </si>
  <si>
    <t>A synced store shows an 'Active' badge. A store still syncing shows a different 'Syncing' badge. The two look clearly different.</t>
  </si>
  <si>
    <t>Check a fully synced store shows 'Active'</t>
  </si>
  <si>
    <t>Check a mid-sync store shows 'Syncing'</t>
  </si>
  <si>
    <t>Force a sync failure and check the badge changes to a failed/error state</t>
  </si>
  <si>
    <t>TC_STORECMP_03</t>
  </si>
  <si>
    <t>Verify the health score makes sense</t>
  </si>
  <si>
    <t>Store uptime and sync history are known</t>
  </si>
  <si>
    <t>A store with sync issues shows a lower health score than a fully healthy store.</t>
  </si>
  <si>
    <t>Compare a healthy store's score to a store with sync problems</t>
  </si>
  <si>
    <t>Check the store with issues scores lower</t>
  </si>
  <si>
    <t>TC_STORECMP_04</t>
  </si>
  <si>
    <t>Verify 'View Details' opens the right store</t>
  </si>
  <si>
    <t>User is viewing the store comparison cards</t>
  </si>
  <si>
    <t>Clicking 'View Details' on a card opens that exact store's own dashboard.</t>
  </si>
  <si>
    <t>Click 'View Details' on one store card</t>
  </si>
  <si>
    <t>Check the correct store's dashboard opens</t>
  </si>
  <si>
    <t>Check the numbers match that store</t>
  </si>
  <si>
    <t>TC_STORECMP_05</t>
  </si>
  <si>
    <t>Verify store cards add up to the combined totals</t>
  </si>
  <si>
    <t>Store comparison and KPI cards are both loaded for the same date range</t>
  </si>
  <si>
    <t>Adding up all store cards' revenue and orders matches the combined KPI totals exactly.</t>
  </si>
  <si>
    <t>Add up revenue from all store cards</t>
  </si>
  <si>
    <t>Compare to the Total Revenue KPI card</t>
  </si>
  <si>
    <t>Repeat the check for Total Orders</t>
  </si>
  <si>
    <t>TC_STORECMP_06</t>
  </si>
  <si>
    <t>Verify a newly added store still finishing its first sync</t>
  </si>
  <si>
    <t>A new store was just added and is still syncing for the first time</t>
  </si>
  <si>
    <t>The new store's card shows a 'syncing' or 'pending' state instead of broken numbers. It is not counted in totals until sync finishes, or it is clearly marked as partial.</t>
  </si>
  <si>
    <t>Add a new store and check its card right away</t>
  </si>
  <si>
    <t>Check it shows a syncing/pending state, not zero or broken data</t>
  </si>
  <si>
    <t>Check whether it is included in totals or marked as incomplete</t>
  </si>
  <si>
    <t>TC_REVTREND_01</t>
  </si>
  <si>
    <t>Verify the Total line equals the sum of all platform lines</t>
  </si>
  <si>
    <t>Monthly revenue is known for each platform</t>
  </si>
  <si>
    <t>At every month, the Total line equals the sum of the individual platform lines for that month.</t>
  </si>
  <si>
    <t>Read each platform's value for one month</t>
  </si>
  <si>
    <t>Add them up</t>
  </si>
  <si>
    <t>Check the Total line matches for that month</t>
  </si>
  <si>
    <t>TC_REVTREND_02</t>
  </si>
  <si>
    <t>Verify clicking a legend item hides or shows that line</t>
  </si>
  <si>
    <t>Chart legend items are clickable</t>
  </si>
  <si>
    <t>Clicking a legend item hides that line only. Clicking again brings it back with the same data.</t>
  </si>
  <si>
    <t>Click one legend item and check that line hides</t>
  </si>
  <si>
    <t>Click it again and check the line comes back correctly</t>
  </si>
  <si>
    <t>TC_REVTREND_03</t>
  </si>
  <si>
    <t>Verify channel split percentages add up to 100%</t>
  </si>
  <si>
    <t>Revenue is known per platform</t>
  </si>
  <si>
    <t>Each channel's percentage matches its share of total revenue. All percentages together add up to 100%.</t>
  </si>
  <si>
    <t>Calculate each channel's share manually</t>
  </si>
  <si>
    <t>Compare to the percentages shown</t>
  </si>
  <si>
    <t>Check all percentages add up to 100%</t>
  </si>
  <si>
    <t>TC_REVTREND_04</t>
  </si>
  <si>
    <t>Verify the channel chart's center total matches the Total Revenue card</t>
  </si>
  <si>
    <t>Both widgets are loaded for the same date range</t>
  </si>
  <si>
    <t>The total shown in the middle of the channel chart matches the Total Revenue KPI card.</t>
  </si>
  <si>
    <t>Compare the channel chart's center value to the Total Revenue card</t>
  </si>
  <si>
    <t>Check they match for the same date range</t>
  </si>
  <si>
    <t>TC_REVTREND_05</t>
  </si>
  <si>
    <t>Verify both charts update together when the date range changes</t>
  </si>
  <si>
    <t>A wider date range with different data is available</t>
  </si>
  <si>
    <t>Changing the date range updates both the revenue trend chart and the channel split chart at the same time.</t>
  </si>
  <si>
    <t>Change the date range</t>
  </si>
  <si>
    <t>Check the revenue trend chart updates</t>
  </si>
  <si>
    <t>Check the channel split chart also updates to match</t>
  </si>
  <si>
    <t>TC_REVTREND_06</t>
  </si>
  <si>
    <t>Verify chart tooltip shows correct values</t>
  </si>
  <si>
    <t>Chart has rendered with data</t>
  </si>
  <si>
    <t>Hovering over a month shows a tooltip with the correct total and per-platform values for that month.</t>
  </si>
  <si>
    <t>Hover over one month on the chart</t>
  </si>
  <si>
    <t>Check the tooltip values match the actual data for that month</t>
  </si>
  <si>
    <t>TC_TOPPRODALL_01</t>
  </si>
  <si>
    <t>Verify products are sorted by revenue, highest first</t>
  </si>
  <si>
    <t>Products with different revenue exist across all stores</t>
  </si>
  <si>
    <t>The list is sorted from highest to lowest revenue, mixing products from all stores correctly.</t>
  </si>
  <si>
    <t>Load the top products list</t>
  </si>
  <si>
    <t>Check the order goes from highest to lowest revenue</t>
  </si>
  <si>
    <t>TC_TOPPRODALL_02</t>
  </si>
  <si>
    <t>Verify each product shows its correct store</t>
  </si>
  <si>
    <t>Products belong to different stores</t>
  </si>
  <si>
    <t>The store name shown next to each product matches where that product actually sold.</t>
  </si>
  <si>
    <t>Check each product's store name against its real source store</t>
  </si>
  <si>
    <t>TC_TOPPRODALL_03</t>
  </si>
  <si>
    <t>Verify a dropping product shows a negative trend clearly</t>
  </si>
  <si>
    <t>One product has a negative trend for the period</t>
  </si>
  <si>
    <t>The negative trend is shown in a different color or style than the positive ones, so it stands out.</t>
  </si>
  <si>
    <t>Find the product with a negative trend</t>
  </si>
  <si>
    <t>Check it is styled differently from the products with positive trends</t>
  </si>
  <si>
    <t>TC_TOPPRODALL_04</t>
  </si>
  <si>
    <t>Verify units sold is correct and separate from ranking</t>
  </si>
  <si>
    <t>Units sold is known for each top product</t>
  </si>
  <si>
    <t>Units sold numbers are accurate. The list stays sorted by revenue even if a product has more units but less revenue.</t>
  </si>
  <si>
    <t>Check units sold for one product against real sales data</t>
  </si>
  <si>
    <t>Check the list order is still by revenue, not units sold</t>
  </si>
  <si>
    <t>TC_TOPPRODALL_05</t>
  </si>
  <si>
    <t>Verify clicking a product opens the right product page</t>
  </si>
  <si>
    <t>A product belongs to a known store</t>
  </si>
  <si>
    <t>Clicking a product opens that exact product's page under its correct store.</t>
  </si>
  <si>
    <t>Click a product in the list</t>
  </si>
  <si>
    <t>Check it opens the right product page for the right store</t>
  </si>
  <si>
    <t>TC_TOPPRODALL_06</t>
  </si>
  <si>
    <t>Verify refunded orders are excluded from top products</t>
  </si>
  <si>
    <t>A top product has one refunded order</t>
  </si>
  <si>
    <t>Revenue and units sold both drop by the refunded amount after the refund.</t>
  </si>
  <si>
    <t>Note the product's current revenue and units sold</t>
  </si>
  <si>
    <t>Refund one of its orders</t>
  </si>
  <si>
    <t>Check both numbers drop by the refunded amount</t>
  </si>
  <si>
    <t>TC_OVAI_01</t>
  </si>
  <si>
    <t>Verify the AI insight names the correct store</t>
  </si>
  <si>
    <t>One store has lower conversion than the others</t>
  </si>
  <si>
    <t>The insight message names the correct underperforming store and the percentage matches the real gap.</t>
  </si>
  <si>
    <t>Check the real conversion rates for all stores</t>
  </si>
  <si>
    <t>Check the insight names the actual lowest store with the right percentage</t>
  </si>
  <si>
    <t>TC_OVAI_02</t>
  </si>
  <si>
    <t>Verify the savings estimate has real recommendations behind it</t>
  </si>
  <si>
    <t>Inventory and cost data exists across stores</t>
  </si>
  <si>
    <t>Clicking 'View Recommendations' shows specific actions that support the savings estimate shown.</t>
  </si>
  <si>
    <t>Click 'View Recommendations'</t>
  </si>
  <si>
    <t>Check specific actions are listed</t>
  </si>
  <si>
    <t>Check they reasonably support the estimate shown</t>
  </si>
  <si>
    <t>TC_OVAI_03</t>
  </si>
  <si>
    <t>Verify Ask AI answers cross-store questions correctly</t>
  </si>
  <si>
    <t>Data for all stores is loaded</t>
  </si>
  <si>
    <t>Question: which store has the best health score?</t>
  </si>
  <si>
    <t>The answer matches the actual best-performing store shown in the comparison cards.</t>
  </si>
  <si>
    <t>Ask AI which store performs best</t>
  </si>
  <si>
    <t>Check the answer matches the real data on screen</t>
  </si>
  <si>
    <t>TC_OVAI_04</t>
  </si>
  <si>
    <t>Verify no cross-store insight appears with only 1 store</t>
  </si>
  <si>
    <t>No message compares stores against each other, since there is nothing to compare.</t>
  </si>
  <si>
    <t>Set up an account with 1 store</t>
  </si>
  <si>
    <t>Load the overview page</t>
  </si>
  <si>
    <t>Check no cross-store comparison message appears</t>
  </si>
  <si>
    <t>TC_HEADER_01</t>
  </si>
  <si>
    <t>Verify the store switcher lists all stores and switches correctly</t>
  </si>
  <si>
    <t>At least 2 stores are connected</t>
  </si>
  <si>
    <t>Opening the switcher lists every store. Picking a different store reloads the dashboard with that store's data.</t>
  </si>
  <si>
    <t>Open the store switcher</t>
  </si>
  <si>
    <t>Check all stores are listed</t>
  </si>
  <si>
    <t>Select a different store</t>
  </si>
  <si>
    <t>Check the dashboard updates to that store's data</t>
  </si>
  <si>
    <t>TC_HEADER_02</t>
  </si>
  <si>
    <t>Verify the logged-in user's name and role show correctly</t>
  </si>
  <si>
    <t>A user is logged in</t>
  </si>
  <si>
    <t>Header shows the correct name and role for the logged-in user. Clicking the avatar opens the account menu.</t>
  </si>
  <si>
    <t>Check the header shows the correct name and role</t>
  </si>
  <si>
    <t>Click the avatar</t>
  </si>
  <si>
    <t>Check the account menu opens</t>
  </si>
  <si>
    <t>TC_HEADER_03</t>
  </si>
  <si>
    <t>Verify the selected store stays selected while navigating</t>
  </si>
  <si>
    <t>User picked a specific store from the switcher</t>
  </si>
  <si>
    <t>Moving between different pages keeps the same store selected. It does not reset to a different store.</t>
  </si>
  <si>
    <t>Pick a store</t>
  </si>
  <si>
    <t>Go to a few other pages and back</t>
  </si>
  <si>
    <t>Check the same store is still selected</t>
  </si>
  <si>
    <t>TC_HEADER_04</t>
  </si>
  <si>
    <t>Verify clicking the logo returns to the home page</t>
  </si>
  <si>
    <t>User is on any page</t>
  </si>
  <si>
    <t>Clicking the logo goes back to the home/dashboard page without logging the user out.</t>
  </si>
  <si>
    <t>Click the logo from any page</t>
  </si>
  <si>
    <t>Check it goes to the home page</t>
  </si>
  <si>
    <t>Check the user is still logged in</t>
  </si>
  <si>
    <t>TC_NOTIF_01</t>
  </si>
  <si>
    <t>Verify the notification count is correct</t>
  </si>
  <si>
    <t>A few unread notifications exist</t>
  </si>
  <si>
    <t>Bell icon shows the correct number. The number updates when a new notification arrives.</t>
  </si>
  <si>
    <t>Check the bell shows the correct count</t>
  </si>
  <si>
    <t>Trigger a new notification</t>
  </si>
  <si>
    <t>Check the count goes up by 1</t>
  </si>
  <si>
    <t>TC_NOTIF_02</t>
  </si>
  <si>
    <t>Verify the notification list opens correctly</t>
  </si>
  <si>
    <t>Several notifications exist with different times</t>
  </si>
  <si>
    <t>Clicking the bell opens a list with the newest notification on top.</t>
  </si>
  <si>
    <t>Click the bell</t>
  </si>
  <si>
    <t>Check the list opens</t>
  </si>
  <si>
    <t>Check notifications are sorted newest first</t>
  </si>
  <si>
    <t>TC_NOTIF_03</t>
  </si>
  <si>
    <t>Verify marking notifications as read works</t>
  </si>
  <si>
    <t>Clicking one notification marks only that one as read. 'Mark all as read' clears the count to 0.</t>
  </si>
  <si>
    <t>Click one notification</t>
  </si>
  <si>
    <t>Check the count drops by 1</t>
  </si>
  <si>
    <t>Click 'Mark all as read'</t>
  </si>
  <si>
    <t>Check the count becomes 0</t>
  </si>
  <si>
    <t>TC_NOTIF_04</t>
  </si>
  <si>
    <t>Verify the empty state when there are no notifications</t>
  </si>
  <si>
    <t>User has no notifications</t>
  </si>
  <si>
    <t>A simple 'no notifications' message shows instead of a blank panel.</t>
  </si>
  <si>
    <t>Open the bell icon with no notifications</t>
  </si>
  <si>
    <t>Check the empty message appears</t>
  </si>
  <si>
    <t>TC_NOTIF_05</t>
  </si>
  <si>
    <t>Verify a sync failure creates a notification</t>
  </si>
  <si>
    <t>A connected store's sync fails</t>
  </si>
  <si>
    <t>A notification appears naming the store that failed to sync. Clicking it goes to that store's details.</t>
  </si>
  <si>
    <t>Force a sync failure on one store</t>
  </si>
  <si>
    <t>Check a notification appears naming that store</t>
  </si>
  <si>
    <t>Click it and check it opens that store's details</t>
  </si>
  <si>
    <t>TC_KPI_01</t>
  </si>
  <si>
    <t>Verify Total Revenue and its growth percentage</t>
  </si>
  <si>
    <t>Order data exists for this period and the prior period</t>
  </si>
  <si>
    <t>Total Revenue matches the actual order total. The growth percentage matches the real change from last period.</t>
  </si>
  <si>
    <t>Check Total Revenue against actual order data</t>
  </si>
  <si>
    <t>Calculate growth manually</t>
  </si>
  <si>
    <t>Compare to the percentage shown</t>
  </si>
  <si>
    <t>TC_KPI_02</t>
  </si>
  <si>
    <t>Verify Total Orders, Active Products, and Customer Count</t>
  </si>
  <si>
    <t>Known counts exist for orders, products, and customers</t>
  </si>
  <si>
    <t>Each card's number exactly matches the real count in the system.</t>
  </si>
  <si>
    <t>Check Total Orders against the real order count</t>
  </si>
  <si>
    <t>Check Active Products against active items</t>
  </si>
  <si>
    <t>Check Customer Count against real customer records</t>
  </si>
  <si>
    <t>TC_KPI_03</t>
  </si>
  <si>
    <t>Verify a declining trend shows correctly</t>
  </si>
  <si>
    <t>Revenue dropped compared to the prior period</t>
  </si>
  <si>
    <t>The card shows a downward arrow and a negative percentage, not a false positive one.</t>
  </si>
  <si>
    <t>Set up a period with lower revenue than before</t>
  </si>
  <si>
    <t>Load the dashboard</t>
  </si>
  <si>
    <t>Check the card shows a negative, downward trend</t>
  </si>
  <si>
    <t>TC_KPI_04</t>
  </si>
  <si>
    <t>Verify KPI cards handle a brand-new store with no data</t>
  </si>
  <si>
    <t>A store was just connected with no orders yet</t>
  </si>
  <si>
    <t>Cards show zero values cleanly, with no errors or broken numbers.</t>
  </si>
  <si>
    <t>Connect a new store with no data</t>
  </si>
  <si>
    <t>Check all cards show zero without errors</t>
  </si>
  <si>
    <t>TC_KPI_05</t>
  </si>
  <si>
    <t>Verify the small trend graph under each card matches real data</t>
  </si>
  <si>
    <t>Daily data exists for the period</t>
  </si>
  <si>
    <t>The busiest day in the data matches the tallest bar in the mini chart.</t>
  </si>
  <si>
    <t>Find the highest-revenue day</t>
  </si>
  <si>
    <t>Check that day's bar is the tallest in the mini chart</t>
  </si>
  <si>
    <t>TC_KPI_06</t>
  </si>
  <si>
    <t>Verify KPIs update after a new order comes in</t>
  </si>
  <si>
    <t>A new order is placed on the connected store</t>
  </si>
  <si>
    <t>Total Revenue and Total Orders go up once the new order syncs in.</t>
  </si>
  <si>
    <t>Note current KPI values</t>
  </si>
  <si>
    <t>Place a new order on the store</t>
  </si>
  <si>
    <t>Refresh after sync and check both values increased</t>
  </si>
  <si>
    <t>TC_KPI_07</t>
  </si>
  <si>
    <t>Verify KPI numbers use the store's own currency</t>
  </si>
  <si>
    <t>Store currency is set to something other than USD</t>
  </si>
  <si>
    <t>Revenue shows with the correct currency symbol and formatting for that store.</t>
  </si>
  <si>
    <t>Set the store currency to a non-USD currency</t>
  </si>
  <si>
    <t>Reload the dashboard</t>
  </si>
  <si>
    <t>Check Total Revenue shows the right currency symbol</t>
  </si>
  <si>
    <t>TC_CHART_01</t>
  </si>
  <si>
    <t>Verify the chart shows 6 months of correct data</t>
  </si>
  <si>
    <t>Monthly revenue is known for 6 months</t>
  </si>
  <si>
    <t>The chart shows exactly 6 months in order, and each month's value matches real revenue.</t>
  </si>
  <si>
    <t>Load the chart</t>
  </si>
  <si>
    <t>Check each month's value against real revenue</t>
  </si>
  <si>
    <t>TC_CHART_02</t>
  </si>
  <si>
    <t>Verify the tooltip shows the right month and value</t>
  </si>
  <si>
    <t>Chart has data</t>
  </si>
  <si>
    <t>Hovering a point shows the correct month name and revenue amount.</t>
  </si>
  <si>
    <t>Hover over one point on the chart</t>
  </si>
  <si>
    <t>Check the tooltip is correct</t>
  </si>
  <si>
    <t>TC_CHART_03</t>
  </si>
  <si>
    <t>Verify changing the date range updates the chart</t>
  </si>
  <si>
    <t>A range selector is available on the chart</t>
  </si>
  <si>
    <t>Picking a different range redraws the chart with the right number of months and correct values.</t>
  </si>
  <si>
    <t>Change the range selector</t>
  </si>
  <si>
    <t>Check the chart redraws with correct data</t>
  </si>
  <si>
    <t>TC_CHART_04</t>
  </si>
  <si>
    <t>Verify the chart handles a store with no revenue</t>
  </si>
  <si>
    <t>A store has zero orders in the last 6 months</t>
  </si>
  <si>
    <t>The chart shows a flat line or a clear 'no data' message instead of breaking.</t>
  </si>
  <si>
    <t>Load the chart for a store with no orders</t>
  </si>
  <si>
    <t>Check it shows a clean empty state</t>
  </si>
  <si>
    <t>TC_CHART_05</t>
  </si>
  <si>
    <t>Verify the chart updates when switching stores</t>
  </si>
  <si>
    <t>Two stores have different revenue history</t>
  </si>
  <si>
    <t>Switching stores updates the chart to the new store's own data.</t>
  </si>
  <si>
    <t>Load the chart for one store</t>
  </si>
  <si>
    <t>Switch to a different store</t>
  </si>
  <si>
    <t>Check the chart now shows the new store's data</t>
  </si>
  <si>
    <t>TC_TOPPROD_01</t>
  </si>
  <si>
    <t>Verify products are sorted by revenue</t>
  </si>
  <si>
    <t>At least 5 products have different revenue</t>
  </si>
  <si>
    <t>The list goes from highest to lowest revenue.</t>
  </si>
  <si>
    <t>Load the list</t>
  </si>
  <si>
    <t>Check the order matches highest to lowest revenue</t>
  </si>
  <si>
    <t>TC_TOPPROD_02</t>
  </si>
  <si>
    <t>Verify the list only shows the top few products</t>
  </si>
  <si>
    <t>More than 5 products have sales</t>
  </si>
  <si>
    <t>Only the top products show on the dashboard. A 'view more' link, if present, opens the full list.</t>
  </si>
  <si>
    <t>Check only the top products are shown</t>
  </si>
  <si>
    <t>Click 'view more' if available</t>
  </si>
  <si>
    <t>Check it opens the full list</t>
  </si>
  <si>
    <t>TC_TOPPROD_03</t>
  </si>
  <si>
    <t>Verify clicking a product opens its detail page</t>
  </si>
  <si>
    <t>A listed product exists in the catalog</t>
  </si>
  <si>
    <t>Clicking a product opens that exact product's page.</t>
  </si>
  <si>
    <t>Check the correct product page opens</t>
  </si>
  <si>
    <t>TC_TOPPROD_04</t>
  </si>
  <si>
    <t>Verify tied revenue is handled consistently</t>
  </si>
  <si>
    <t>Two products have the same revenue</t>
  </si>
  <si>
    <t>Their order stays the same every time the page reloads.</t>
  </si>
  <si>
    <t>Set up two products with equal revenue</t>
  </si>
  <si>
    <t>Reload the page a few times</t>
  </si>
  <si>
    <t>Check their order does not change randomly</t>
  </si>
  <si>
    <t>TC_TOPPROD_05</t>
  </si>
  <si>
    <t>Verify refunded orders don't count toward revenue</t>
  </si>
  <si>
    <t>The product's revenue drops by the refunded amount.</t>
  </si>
  <si>
    <t>Note the product's current revenue</t>
  </si>
  <si>
    <t>Refund one order for it</t>
  </si>
  <si>
    <t>Check the revenue drops correctly</t>
  </si>
  <si>
    <t>TC_ORDERS_01</t>
  </si>
  <si>
    <t>Verify order details are correct</t>
  </si>
  <si>
    <t>At least 4 recent orders exist with different statuses</t>
  </si>
  <si>
    <t>Order ID, customer name, amount, and status all match the real order. Status colors match the status.</t>
  </si>
  <si>
    <t>Check each order row against the real order</t>
  </si>
  <si>
    <t>Check status colors are correct</t>
  </si>
  <si>
    <t>TC_ORDERS_02</t>
  </si>
  <si>
    <t>Verify customer email and sync status are shown</t>
  </si>
  <si>
    <t>An order has a known customer email and sync status</t>
  </si>
  <si>
    <t>Sync Status: Synced</t>
  </si>
  <si>
    <t>The customer's email is visible. The order's sync status is also visible and correct.</t>
  </si>
  <si>
    <t>GAP: current screen shows Order ID / Customer Name / Amount / Status only. Email and Sync Status are not visible yet - confirm with design whether these appear on click/hover or need to be added as columns.</t>
  </si>
  <si>
    <t>Open or hover an order row</t>
  </si>
  <si>
    <t>Check the customer email is visible</t>
  </si>
  <si>
    <t>Check the sync status is shown and correct</t>
  </si>
  <si>
    <t>TC_ORDERS_03</t>
  </si>
  <si>
    <t>Verify a failed sync shows clearly on the order</t>
  </si>
  <si>
    <t>An order fails to sync to its platform</t>
  </si>
  <si>
    <t>That order's sync status shows 'Failed'. A retry option is available.</t>
  </si>
  <si>
    <t>Force a sync failure on one order</t>
  </si>
  <si>
    <t>Check its status shows Failed</t>
  </si>
  <si>
    <t>Retry and check it becomes Synced</t>
  </si>
  <si>
    <t>TC_ORDERS_04</t>
  </si>
  <si>
    <t>Verify 'View All' opens the full orders list</t>
  </si>
  <si>
    <t>More orders exist than shown on the dashboard</t>
  </si>
  <si>
    <t>Clicking 'View All' opens the complete order list with matching data.</t>
  </si>
  <si>
    <t>Click 'View All'</t>
  </si>
  <si>
    <t>Check the full order list opens with matching data</t>
  </si>
  <si>
    <t>TC_ORDERS_05</t>
  </si>
  <si>
    <t>Verify new or updated orders show up correctly</t>
  </si>
  <si>
    <t>Dashboard is open while an order is placed or updated</t>
  </si>
  <si>
    <t>A new order appears at the top after refresh. A status change is reflected too.</t>
  </si>
  <si>
    <t>Place a new test order</t>
  </si>
  <si>
    <t>Refresh and check it appears at the top</t>
  </si>
  <si>
    <t>Update an order's status and check it reflects</t>
  </si>
  <si>
    <t>TC_ORDERS_06</t>
  </si>
  <si>
    <t>Verify empty state when there are no orders</t>
  </si>
  <si>
    <t>A new store has no orders yet</t>
  </si>
  <si>
    <t>A clean 'no orders yet' message shows instead of a blank or stuck loading screen.</t>
  </si>
  <si>
    <t>Load the dashboard for a store with no orders</t>
  </si>
  <si>
    <t>Check the empty message shows</t>
  </si>
  <si>
    <t>TC_ORDERS_07</t>
  </si>
  <si>
    <t>Verify order amount includes tax and discount correctly</t>
  </si>
  <si>
    <t>An order has both a discount and tax applied</t>
  </si>
  <si>
    <t>Subtotal $50, discount -$5, tax $3.50, total $48.50</t>
  </si>
  <si>
    <t>The amount shown matches the final total, same as in the full orders list.</t>
  </si>
  <si>
    <t>Create a test order with tax and discount</t>
  </si>
  <si>
    <t>Check the amount shown matches the real total</t>
  </si>
  <si>
    <t>Compare to the same order in the full orders list</t>
  </si>
  <si>
    <t>TC_ORDERS_08</t>
  </si>
  <si>
    <t>Verify orders placed directly on each platform show up correctly</t>
  </si>
  <si>
    <t>Test orders are placed directly on BigCommerce, Shopify, and Shopware stores</t>
  </si>
  <si>
    <t>Integration</t>
  </si>
  <si>
    <t>Each order appears correctly after sync, with the right details and a Synced status.</t>
  </si>
  <si>
    <t>Place a test order on each platform</t>
  </si>
  <si>
    <t>Wait for sync</t>
  </si>
  <si>
    <t>Check each order appears correctly on its store's dashboard</t>
  </si>
  <si>
    <t>TC_HEALTH_01</t>
  </si>
  <si>
    <t>Verify sync status shows the real state</t>
  </si>
  <si>
    <t>Store connection is healthy and synced</t>
  </si>
  <si>
    <t>Status shows 'Active' when healthy. It changes to 'Syncing' or 'Failed' when those states happen.</t>
  </si>
  <si>
    <t>Check status while healthy</t>
  </si>
  <si>
    <t>Trigger a sync and check it shows Syncing</t>
  </si>
  <si>
    <t>Force a failure and check it shows Failed</t>
  </si>
  <si>
    <t>TC_HEALTH_02</t>
  </si>
  <si>
    <t>Verify 'Last Sync' time updates correctly</t>
  </si>
  <si>
    <t>A sync just completed</t>
  </si>
  <si>
    <t>'Last Sync' shows a fresh time right after each successful sync.</t>
  </si>
  <si>
    <t>Note the current Last Sync time</t>
  </si>
  <si>
    <t>Trigger a new sync</t>
  </si>
  <si>
    <t>Check the time updates</t>
  </si>
  <si>
    <t>TC_HEALTH_03</t>
  </si>
  <si>
    <t>Verify the uptime percentage is calculated correctly</t>
  </si>
  <si>
    <t>Uptime history is known for the period</t>
  </si>
  <si>
    <t>The uptime percentage shown matches the real healthy-time percentage for that period.</t>
  </si>
  <si>
    <t>Calculate real uptime for the period</t>
  </si>
  <si>
    <t>TC_HEALTH_04</t>
  </si>
  <si>
    <t>Verify a broken connection shows clearly</t>
  </si>
  <si>
    <t>Store's platform login becomes invalid</t>
  </si>
  <si>
    <t>Store Health clearly shows a disconnected state with a reconnect option, not a stale healthy badge.</t>
  </si>
  <si>
    <t>Break the store's platform connection</t>
  </si>
  <si>
    <t>Check the disconnected state is shown clearly</t>
  </si>
  <si>
    <t>TC_HEALTH_05</t>
  </si>
  <si>
    <t>Verify store health does not mix up between stores</t>
  </si>
  <si>
    <t>Two stores have different health states</t>
  </si>
  <si>
    <t>Switching stores shows that store's own health, not the previous store's.</t>
  </si>
  <si>
    <t>Check health for one store</t>
  </si>
  <si>
    <t>Switch to another store</t>
  </si>
  <si>
    <t>Check health now shows the new store's real state</t>
  </si>
  <si>
    <t>TC_AI_01</t>
  </si>
  <si>
    <t>Verify the AI insight text is accurate</t>
  </si>
  <si>
    <t>Conversion rate data is available for this week and last week</t>
  </si>
  <si>
    <t>The insight's stated percentage matches the real change in conversion rate.</t>
  </si>
  <si>
    <t>Check real conversion data</t>
  </si>
  <si>
    <t>Compare to the insight message shown</t>
  </si>
  <si>
    <t>TC_AI_02</t>
  </si>
  <si>
    <t>Verify 'View Recommendations' shows relevant suggestions</t>
  </si>
  <si>
    <t>The insight points to a specific opportunity</t>
  </si>
  <si>
    <t>Recommendations shown match the insight, not random or unrelated suggestions.</t>
  </si>
  <si>
    <t>Check the suggestions match the insight</t>
  </si>
  <si>
    <t>TC_AI_03</t>
  </si>
  <si>
    <t>Verify Ask AI gives accurate answers</t>
  </si>
  <si>
    <t>Dashboard has real business data</t>
  </si>
  <si>
    <t>Question: what was my best-selling product last month?</t>
  </si>
  <si>
    <t>The answer matches the real Top Selling Products data.</t>
  </si>
  <si>
    <t>Ask AI the question</t>
  </si>
  <si>
    <t>Compare the answer to the real top-selling product</t>
  </si>
  <si>
    <t>TC_AI_04</t>
  </si>
  <si>
    <t>Verify AI handles low data gracefully</t>
  </si>
  <si>
    <t>A new store has little or no history</t>
  </si>
  <si>
    <t>AI shows a 'not enough data' message instead of making up an answer.</t>
  </si>
  <si>
    <t>Load the dashboard for a store with little data</t>
  </si>
  <si>
    <t>Check the AI insight does not show a fake statistic</t>
  </si>
  <si>
    <t>Ask AI a question and check it admits it lacks data</t>
  </si>
  <si>
    <t>TC_AI_05</t>
  </si>
  <si>
    <t>Verify Ask AI cannot delete or change data on its own</t>
  </si>
  <si>
    <t>User opens Ask AI</t>
  </si>
  <si>
    <t>Question: delete my lowest performing product</t>
  </si>
  <si>
    <t>AI does not delete anything automatically. It asks the user to confirm the action separately.</t>
  </si>
  <si>
    <t>Ask AI to delete a product</t>
  </si>
  <si>
    <t>Check nothing is deleted right away</t>
  </si>
  <si>
    <t>Check a separate confirm step is required</t>
  </si>
  <si>
    <t>TC_NAV_01</t>
  </si>
  <si>
    <t>Verify all top menu tabs work</t>
  </si>
  <si>
    <t>User is on the dashboard with a store selected</t>
  </si>
  <si>
    <t>Every tab opens its correct page. The active tab is highlighted.</t>
  </si>
  <si>
    <t>Click each top tab one by one</t>
  </si>
  <si>
    <t>Check each opens the right page</t>
  </si>
  <si>
    <t>Check the active tab is highlighted</t>
  </si>
  <si>
    <t>TC_NAV_02</t>
  </si>
  <si>
    <t>Verify unsupported tabs are handled properly</t>
  </si>
  <si>
    <t>A feature is not available for the current store or plan</t>
  </si>
  <si>
    <t>The tab is hidden, disabled, or clearly marked, instead of opening a broken page.</t>
  </si>
  <si>
    <t>Pick a store/plan where a feature is unsupported</t>
  </si>
  <si>
    <t>Check the tab is hidden, disabled, or marked</t>
  </si>
  <si>
    <t>If clickable, check it does not open a broken page</t>
  </si>
  <si>
    <t>TC_DSYNC_01</t>
  </si>
  <si>
    <t>Verify dashboard numbers match BigCommerce after sync</t>
  </si>
  <si>
    <t>A BigCommerce store finished syncing</t>
  </si>
  <si>
    <t>Revenue, orders, products, and customers match what BigCommerce actually shows.</t>
  </si>
  <si>
    <t>Sync the BigCommerce store</t>
  </si>
  <si>
    <t>Check dashboard numbers against BigCommerce's own data</t>
  </si>
  <si>
    <t>TC_DSYNC_02</t>
  </si>
  <si>
    <t>Verify dashboard numbers match Shopify after sync</t>
  </si>
  <si>
    <t>A Shopify store finished syncing</t>
  </si>
  <si>
    <t>Revenue, orders, products, and customers match what Shopify actually shows.</t>
  </si>
  <si>
    <t>Sync the Shopify store</t>
  </si>
  <si>
    <t>Check dashboard numbers against Shopify's own data</t>
  </si>
  <si>
    <t>TC_DSYNC_03</t>
  </si>
  <si>
    <t>Verify dashboard numbers match Shopware after sync</t>
  </si>
  <si>
    <t>A Shopware store finished syncing</t>
  </si>
  <si>
    <t>Revenue, orders, products, and customers match what Shopware actually shows.</t>
  </si>
  <si>
    <t>Sync the Shopware store</t>
  </si>
  <si>
    <t>Check dashboard numbers against Shopware's own data</t>
  </si>
  <si>
    <t>TC_DSYNC_04</t>
  </si>
  <si>
    <t>Verify the dashboard shows a sync-in-progress state clearly</t>
  </si>
  <si>
    <t>A store's sync is currently running</t>
  </si>
  <si>
    <t>The dashboard shows the data may still be updating, instead of showing old numbers as final.</t>
  </si>
  <si>
    <t>Start a fresh sync</t>
  </si>
  <si>
    <t>Open the dashboard while it's running</t>
  </si>
  <si>
    <t>Check it shows a syncing indicator, not stale data as final</t>
  </si>
  <si>
    <t>TC_DSYNC_05</t>
  </si>
  <si>
    <t>Verify re-syncing does not duplicate orders</t>
  </si>
  <si>
    <t>A store was already fully synced once</t>
  </si>
  <si>
    <t>Running sync again does not create duplicate orders or inflate revenue.</t>
  </si>
  <si>
    <t>Re-run sync for the same store</t>
  </si>
  <si>
    <t>Check the numbers stay the same after sync completes</t>
  </si>
  <si>
    <t>TC_DSYNC_06</t>
  </si>
  <si>
    <t>Verify switching stores shows the right platform-specific details</t>
  </si>
  <si>
    <t>One store each is connected on BigCommerce, Shopify, and Shopware</t>
  </si>
  <si>
    <t>Currency and labels change correctly per platform. Revenue/order/product/customer math stays consistent across all three.</t>
  </si>
  <si>
    <t>Switch between the 3 stores one at a time</t>
  </si>
  <si>
    <t>Check currency and labels update per platform</t>
  </si>
  <si>
    <t>Check the core numbers stay consistent and correct for each</t>
  </si>
  <si>
    <t>TC_ADM_HDR_01</t>
  </si>
  <si>
    <t>Verify the ADMIN badge shows only for admin users</t>
  </si>
  <si>
    <t>User logs in with a Platform Admin account</t>
  </si>
  <si>
    <t>The 'ADMIN' badge shows next to the logo. A normal (non-admin) user should not see this badge.</t>
  </si>
  <si>
    <t>Log in as a Platform Admin</t>
  </si>
  <si>
    <t>Check the ADMIN badge is visible next to the logo</t>
  </si>
  <si>
    <t>Log in as a normal user and check the badge does not show</t>
  </si>
  <si>
    <t>TC_ADM_HDR_02</t>
  </si>
  <si>
    <t>Admin is logged in and on the Overview tab</t>
  </si>
  <si>
    <t>Overview, Customers, Stores, Users, Industry Rules, Billing &amp; Subscriptions, and Platform Settings all open the correct page.</t>
  </si>
  <si>
    <t>Check each one opens the correct page</t>
  </si>
  <si>
    <t>TC_ADM_HDR_03</t>
  </si>
  <si>
    <t>Verify admin name and role show correctly</t>
  </si>
  <si>
    <t>Admin 'Name' is logged in with role 'Platform Admin'</t>
  </si>
  <si>
    <t>Header shows the correct name and role. Clicking the avatar opens the account menu.</t>
  </si>
  <si>
    <t>Check the header shows the right name and role</t>
  </si>
  <si>
    <t>TC_ADM_HDR_04</t>
  </si>
  <si>
    <t>Verify a non-admin user cannot open this dashboard</t>
  </si>
  <si>
    <t>A regular customer user tries to open the admin dashboard link directly</t>
  </si>
  <si>
    <t>Access is blocked with a clear message. The customer cannot see any admin data.</t>
  </si>
  <si>
    <t>Log in as a normal customer user</t>
  </si>
  <si>
    <t>Try to open the admin dashboard URL directly</t>
  </si>
  <si>
    <t>Check access is blocked</t>
  </si>
  <si>
    <t>TC_ADM_KPI_01</t>
  </si>
  <si>
    <t>Verify Total Customers count and growth badge</t>
  </si>
  <si>
    <t>48 customers exist, with 6 new since last period</t>
  </si>
  <si>
    <t>Total Customers: 48, growth +6</t>
  </si>
  <si>
    <t>Card shows 48 and a +6 growth badge, matching the real customer count and change.</t>
  </si>
  <si>
    <t>Count the real number of customers</t>
  </si>
  <si>
    <t>Check it matches the Total Customers card</t>
  </si>
  <si>
    <t>Check the growth badge matches the real change</t>
  </si>
  <si>
    <t>TC_ADM_KPI_02</t>
  </si>
  <si>
    <t>Verify Connected Stores count is correct</t>
  </si>
  <si>
    <t>127 stores are connected across all customers</t>
  </si>
  <si>
    <t>Connected Stores: 127, growth +14</t>
  </si>
  <si>
    <t>Card shows 127, matching the real total number of connected stores across all customers.</t>
  </si>
  <si>
    <t>Count real connected stores across all customers</t>
  </si>
  <si>
    <t>Check it matches the Connected Stores card</t>
  </si>
  <si>
    <t>TC_ADM_KPI_03</t>
  </si>
  <si>
    <t>Verify Platform Users count is correct</t>
  </si>
  <si>
    <t>1,284 platform users exist across all customer accounts</t>
  </si>
  <si>
    <t>Card shows the correct total number of platform users.</t>
  </si>
  <si>
    <t>Count real platform users</t>
  </si>
  <si>
    <t>Check it matches the Platform Users card</t>
  </si>
  <si>
    <t>TC_ADM_KPI_04</t>
  </si>
  <si>
    <t>Verify Monthly Revenue and growth percentage</t>
  </si>
  <si>
    <t>Monthly recurring revenue is known for this month and last month</t>
  </si>
  <si>
    <t>Monthly Revenue: $89,400, growth +18.2%</t>
  </si>
  <si>
    <t>Card shows the correct revenue and the growth percentage matches the real change from last month.</t>
  </si>
  <si>
    <t>Check Monthly Revenue against real billing data</t>
  </si>
  <si>
    <t>TC_ADM_KPI_05</t>
  </si>
  <si>
    <t>Verify API Calls (30 days) count</t>
  </si>
  <si>
    <t>API call logs exist for the last 30 days</t>
  </si>
  <si>
    <t>API Calls: 2.4M</t>
  </si>
  <si>
    <t>Card shows the correct total API call count for the last 30 days.</t>
  </si>
  <si>
    <t>Check the real API call count for the last 30 days</t>
  </si>
  <si>
    <t>Compare to the card</t>
  </si>
  <si>
    <t>TC_ADM_KPI_06</t>
  </si>
  <si>
    <t>Verify Uptime percentage is correct</t>
  </si>
  <si>
    <t>Platform uptime history is known for the period</t>
  </si>
  <si>
    <t>Uptime: 99.97%</t>
  </si>
  <si>
    <t>Card shows the correct uptime percentage for the period.</t>
  </si>
  <si>
    <t>TC_ADM_KPI_07</t>
  </si>
  <si>
    <t>Verify KPI cards handle zero data on a brand-new platform</t>
  </si>
  <si>
    <t>A brand-new platform instance has no customers or stores yet</t>
  </si>
  <si>
    <t>All cards show zero cleanly, with no errors or broken numbers.</t>
  </si>
  <si>
    <t>Load the dashboard on a fresh platform with no data</t>
  </si>
  <si>
    <t>Check all cards show 0 without errors</t>
  </si>
  <si>
    <t>TC_ADM_SYNC_01</t>
  </si>
  <si>
    <t>Verify Connected Stores count goes up when a customer adds a store</t>
  </si>
  <si>
    <t>A customer currently has a known number of stores connected</t>
  </si>
  <si>
    <t>After the customer adds a new store, the Connected Stores KPI on this dashboard goes up by 1.</t>
  </si>
  <si>
    <t>Note the current Connected Stores count</t>
  </si>
  <si>
    <t>Have a customer add a new store</t>
  </si>
  <si>
    <t>Refresh the admin dashboard</t>
  </si>
  <si>
    <t>Check Connected Stores increased by 1</t>
  </si>
  <si>
    <t>TC_ADM_SYNC_02</t>
  </si>
  <si>
    <t>Verify Connected Stores count goes down when a customer removes a store</t>
  </si>
  <si>
    <t>A customer currently has more than 1 store connected</t>
  </si>
  <si>
    <t>After the customer removes a store, the Connected Stores KPI on this dashboard goes down by 1.</t>
  </si>
  <si>
    <t>Have a customer remove a store</t>
  </si>
  <si>
    <t>Check Connected Stores decreased by 1</t>
  </si>
  <si>
    <t>TC_ADM_SYNC_03</t>
  </si>
  <si>
    <t>Verify the customer's store count updates in Recent Customer Activity</t>
  </si>
  <si>
    <t>A customer (e.g. Acme Industries) is visible in Recent Customer Activity with a known store count</t>
  </si>
  <si>
    <t>After that customer adds a store, their row in Recent Customer Activity shows the new, higher store count.</t>
  </si>
  <si>
    <t>Note Acme Industries' current store count in the activity list</t>
  </si>
  <si>
    <t>Have Acme Industries add a new store</t>
  </si>
  <si>
    <t>Refresh the dashboard</t>
  </si>
  <si>
    <t>Check their store count in the list increased by 1</t>
  </si>
  <si>
    <t>TC_ADM_SYNC_04</t>
  </si>
  <si>
    <t>Verify a store add/remove appears as a recent activity entry</t>
  </si>
  <si>
    <t>A customer adds or removes a store</t>
  </si>
  <si>
    <t>A new entry or an updated row for that customer appears in Recent Customer Activity, so the admin can see the change happened.</t>
  </si>
  <si>
    <t>Have a customer add a store</t>
  </si>
  <si>
    <t>Check Recent Customer Activity shows this customer's update</t>
  </si>
  <si>
    <t>Have the same customer remove a store</t>
  </si>
  <si>
    <t>Check the activity list reflects this too</t>
  </si>
  <si>
    <t>TC_ADM_SYNC_05</t>
  </si>
  <si>
    <t>Verify the update shows without a full page reload</t>
  </si>
  <si>
    <t>Admin has the dashboard open while a customer adds a store</t>
  </si>
  <si>
    <t>The dashboard updates the store count on its own (or with a simple refresh), without the admin needing to log out and back in.</t>
  </si>
  <si>
    <t>Keep the admin dashboard open</t>
  </si>
  <si>
    <t>Have a customer add a store in another session</t>
  </si>
  <si>
    <t>Check the new store count shows without any extra steps</t>
  </si>
  <si>
    <t>TC_ADM_SYNC_06</t>
  </si>
  <si>
    <t>Verify removing a customer's only store does not break their row</t>
  </si>
  <si>
    <t>A customer has exactly 1 store connected</t>
  </si>
  <si>
    <t>After removing their only store, the customer's row shows 0 stores instead of an error or a missing row.</t>
  </si>
  <si>
    <t>Have a customer with 1 store remove it</t>
  </si>
  <si>
    <t>Check their row shows 0 stores, not an error</t>
  </si>
  <si>
    <t>TC_ADM_SYNC_07</t>
  </si>
  <si>
    <t>Verify adding stores for multiple customers at the same time all reflect correctly</t>
  </si>
  <si>
    <t>Two or more customers add a store around the same time</t>
  </si>
  <si>
    <t>Every customer's store count updates correctly. No customer's update is lost or applied to the wrong customer.</t>
  </si>
  <si>
    <t>Have 2 different customers each add a store at about the same time</t>
  </si>
  <si>
    <t>Check both customers' store counts updated correctly and separately</t>
  </si>
  <si>
    <t>TC_ADM_REV_01</t>
  </si>
  <si>
    <t>Verify the revenue trend chart shows 6 months of correct data</t>
  </si>
  <si>
    <t>Monthly recurring revenue is known for Jan through Jun</t>
  </si>
  <si>
    <t>The chart shows 6 months in order, and each month's value matches the real MRR for that month.</t>
  </si>
  <si>
    <t>Check each month's value against real MRR data</t>
  </si>
  <si>
    <t>TC_ADM_REV_02</t>
  </si>
  <si>
    <t>Verify chart tooltip shows the right month and value</t>
  </si>
  <si>
    <t>Hovering a point on the chart shows the correct month and revenue value.</t>
  </si>
  <si>
    <t>TC_ADM_REV_03</t>
  </si>
  <si>
    <t>Verify the chart handles a month with no growth</t>
  </si>
  <si>
    <t>One month has flat or zero MRR growth</t>
  </si>
  <si>
    <t>The chart shows the flat month correctly, without gaps or broken lines.</t>
  </si>
  <si>
    <t>Check a month with no growth on the chart</t>
  </si>
  <si>
    <t>Check the line renders smoothly through that month</t>
  </si>
  <si>
    <t>TC_ADM_IND_01</t>
  </si>
  <si>
    <t>Verify industry percentages add up to 100%</t>
  </si>
  <si>
    <t>Customers are grouped into Show Mgmt, MRO Parts, Fasteners, and Other</t>
  </si>
  <si>
    <t>Show Mgmt 42%, MRO Parts 31%, Fasteners 18%, Other 9%</t>
  </si>
  <si>
    <t>Each percentage matches the real share of customers in that industry. All percentages add up to 100%.</t>
  </si>
  <si>
    <t>Count real customers per industry group</t>
  </si>
  <si>
    <t>Calculate each group's percentage</t>
  </si>
  <si>
    <t>Compare to the chart</t>
  </si>
  <si>
    <t>TC_ADM_IND_02</t>
  </si>
  <si>
    <t>Verify the chart updates when a new customer is added</t>
  </si>
  <si>
    <t>A new customer signs up under a known industry</t>
  </si>
  <si>
    <t>That industry's percentage goes up slightly to reflect the new customer.</t>
  </si>
  <si>
    <t>Note current industry percentages</t>
  </si>
  <si>
    <t>Add a new customer under one industry</t>
  </si>
  <si>
    <t>Refresh and check that industry's share increased</t>
  </si>
  <si>
    <t>TC_ADM_IND_03</t>
  </si>
  <si>
    <t>Verify the chart updates when a new customer is revmoved</t>
  </si>
  <si>
    <t>TC_ADM_IND_04</t>
  </si>
  <si>
    <t>Verify the chart updates when a new industry is added</t>
  </si>
  <si>
    <t>Add a new industry</t>
  </si>
  <si>
    <t xml:space="preserve">Newly added industry should be displayed </t>
  </si>
  <si>
    <t>Note the industry standard bar graph</t>
  </si>
  <si>
    <t>TC_ADM_IND_05</t>
  </si>
  <si>
    <t>Verify the chart updates when a new industry is removed</t>
  </si>
  <si>
    <t>Delete exising industry</t>
  </si>
  <si>
    <t xml:space="preserve">Removed Industry should not be displayed </t>
  </si>
  <si>
    <t>TC_ADM_ACT_01</t>
  </si>
  <si>
    <t>Verify customer activity rows show correct details</t>
  </si>
  <si>
    <t>Multiple customers exist with different plans and statuses</t>
  </si>
  <si>
    <t>Each row shows the correct customer name, store count, plan, and status, matching real account data.</t>
  </si>
  <si>
    <t>Check each row against the real customer account data</t>
  </si>
  <si>
    <t>Check plan and status values are correct</t>
  </si>
  <si>
    <t>TC_ADM_ACT_02</t>
  </si>
  <si>
    <t>Verify status labels are correct (Active, Trial, Churned)</t>
  </si>
  <si>
    <t>Customers exist in Active, Trial, and Churned states</t>
  </si>
  <si>
    <t>Each customer's status label matches their real account state, with a different color for each status.</t>
  </si>
  <si>
    <t>Check an Active customer shows 'Active' in green</t>
  </si>
  <si>
    <t>Check a Trial customer shows 'Trial' with a different color</t>
  </si>
  <si>
    <t>Check a Churned customer shows 'Churned' clearly</t>
  </si>
  <si>
    <t>TC_ADM_ACT_03</t>
  </si>
  <si>
    <t>Verify 'View All' opens the full customer list</t>
  </si>
  <si>
    <t>More customers exist than shown on the dashboard</t>
  </si>
  <si>
    <t>Clicking 'View All' opens the complete customer list under the Customers tab.</t>
  </si>
  <si>
    <t>Check the full customer list opens with matching data</t>
  </si>
  <si>
    <t>TC_ADM_ACT_04</t>
  </si>
  <si>
    <t>Verify a customer moving from Trial to Active updates the list</t>
  </si>
  <si>
    <t>A customer is currently in Trial status</t>
  </si>
  <si>
    <t>After the customer converts to a paid plan, their status updates to Active on this list.</t>
  </si>
  <si>
    <t>Convert a Trial customer to a paid plan</t>
  </si>
  <si>
    <t>Check their status now shows Active</t>
  </si>
  <si>
    <t>TC_ADM_ACT_05</t>
  </si>
  <si>
    <t>Verify clicking a customer opens their detail page</t>
  </si>
  <si>
    <t>A customer row exists in the activity list</t>
  </si>
  <si>
    <t>Clicking a customer name opens that exact customer's detail page.</t>
  </si>
  <si>
    <t>Click a customer name in the list</t>
  </si>
  <si>
    <t>Check the correct customer's detail page opens</t>
  </si>
  <si>
    <t>TC_ADM_HEALTH_01</t>
  </si>
  <si>
    <t>Verify each service shows the correct status</t>
  </si>
  <si>
    <t>All platform services are running normally</t>
  </si>
  <si>
    <t>Product Service, Pricing Engine, Rules Engine, Search, AI Services, and Payment Gateway all show 'Operational' with a green dot.</t>
  </si>
  <si>
    <t>Check each listed service shows 'Operational'</t>
  </si>
  <si>
    <t>Check each has a green status dot</t>
  </si>
  <si>
    <t>TC_ADM_HEALTH_02</t>
  </si>
  <si>
    <t>Verify a service outage shows clearly</t>
  </si>
  <si>
    <t>One service (for example Payment Gateway) goes down</t>
  </si>
  <si>
    <t>That service's status changes to a clear warning or error state, not stuck on 'Operational'.</t>
  </si>
  <si>
    <t>Simulate an outage on one service</t>
  </si>
  <si>
    <t>Check that service shows a down/error status, not Operational</t>
  </si>
  <si>
    <t>TC_ADM_HEALTH_03</t>
  </si>
  <si>
    <t>Verify Avg API Response time is accurate</t>
  </si>
  <si>
    <t>API response logs exist for the period</t>
  </si>
  <si>
    <t>Avg API Response: 142ms</t>
  </si>
  <si>
    <t>The average response time shown matches the real average from the logs.</t>
  </si>
  <si>
    <t>Calculate the real average API response time</t>
  </si>
  <si>
    <t>Compare to the value shown</t>
  </si>
  <si>
    <t>TC_ADM_HEALTH_04</t>
  </si>
  <si>
    <t>Verify Active Sessions count is accurate</t>
  </si>
  <si>
    <t>A known number of users are currently logged in</t>
  </si>
  <si>
    <t>Active Sessions: 89</t>
  </si>
  <si>
    <t>The Active Sessions number matches the real count of currently logged-in users.</t>
  </si>
  <si>
    <t>Count real active sessions</t>
  </si>
  <si>
    <t>TC_ADM_BILL_01</t>
  </si>
  <si>
    <t>Verify plan counts and prices are correct</t>
  </si>
  <si>
    <t>12 Enterprise, 24 Professional, and 12 Starter plans are active</t>
  </si>
  <si>
    <t>Enterprise $4,200/mo, Professional $1,800/mo, Starter $600/mo</t>
  </si>
  <si>
    <t>Each plan tier shows the correct customer count and correct monthly price per plan.</t>
  </si>
  <si>
    <t>Count real customers per plan tier</t>
  </si>
  <si>
    <t>Check each tier's count and price matches</t>
  </si>
  <si>
    <t>TC_ADM_BILL_02</t>
  </si>
  <si>
    <t>Verify Total MRR equals the sum of all plans</t>
  </si>
  <si>
    <t>Plan counts and prices are known for all 3 tiers</t>
  </si>
  <si>
    <t>Expected Total MRR: $89,400</t>
  </si>
  <si>
    <t>Total MRR equals (Enterprise count x price) + (Professional count x price) + (Starter count x price).</t>
  </si>
  <si>
    <t>Calculate Total MRR manually from plan counts and prices</t>
  </si>
  <si>
    <t>Compare to the Total MRR shown</t>
  </si>
  <si>
    <t>TC_ADM_BILL_03</t>
  </si>
  <si>
    <t>Verify 'View Full Billing Details' opens the full billing page</t>
  </si>
  <si>
    <t>Admin is viewing the Billing Summary card</t>
  </si>
  <si>
    <t>Clicking the link opens the complete billing page under Billing &amp; Subscriptions.</t>
  </si>
  <si>
    <t>Click 'View Full Billing Details'</t>
  </si>
  <si>
    <t>Check the full billing page opens</t>
  </si>
  <si>
    <t>TC_ADM_BILL_04</t>
  </si>
  <si>
    <t>Verify Total MRR updates when a customer upgrades or cancels</t>
  </si>
  <si>
    <t>A customer is on a Starter plan</t>
  </si>
  <si>
    <t>After the customer upgrades to Professional, Total MRR goes up by the price difference. If they cancel, MRR goes down by their plan price.</t>
  </si>
  <si>
    <t>Note current Total MRR</t>
  </si>
  <si>
    <t>Upgrade a Starter customer to Professional</t>
  </si>
  <si>
    <t>Check Total MRR increases correctly</t>
  </si>
  <si>
    <t>Cancel a customer's plan and check MRR decreases correctly</t>
  </si>
  <si>
    <t>TC_ADM_QA_01</t>
  </si>
  <si>
    <t>Verify 'Add Customer' opens the new customer form</t>
  </si>
  <si>
    <t>Admin is on the Overview page</t>
  </si>
  <si>
    <t>Clicking 'Add Customer' opens a form to create a new customer account.</t>
  </si>
  <si>
    <t>Click 'Add Customer'</t>
  </si>
  <si>
    <t>Check the new customer form opens</t>
  </si>
  <si>
    <t>TC_ADM_QA_02</t>
  </si>
  <si>
    <t>Verify 'Provision Store' starts the store setup flow</t>
  </si>
  <si>
    <t>Clicking 'Provision Store' opens the flow to set up a new store for a customer.</t>
  </si>
  <si>
    <t>Click 'Provision Store'</t>
  </si>
  <si>
    <t>Check the store setup flow opens</t>
  </si>
  <si>
    <t>TC_ADM_QA_03</t>
  </si>
  <si>
    <t>Verify 'Manage API Keys' opens API key management</t>
  </si>
  <si>
    <t>Clicking 'Manage API Keys' opens the screen to view, create, or revoke API keys.</t>
  </si>
  <si>
    <t>Click 'Manage API Keys'</t>
  </si>
  <si>
    <t>Check the API key management screen opens</t>
  </si>
  <si>
    <t>TC_ADM_QA_04</t>
  </si>
  <si>
    <t>Verify quick actions are only available to admins</t>
  </si>
  <si>
    <t>A non-admin user somehow reaches this page</t>
  </si>
  <si>
    <t>Quick action buttons are hidden or disabled for non-admin users.</t>
  </si>
  <si>
    <t>Log in as a non-admin user</t>
  </si>
  <si>
    <t>Check quick action buttons are hidden or disabled</t>
  </si>
  <si>
    <t>TC_ADM_QA_05</t>
  </si>
  <si>
    <t>Verify 'Ask AI' answers platform-level questions correctly</t>
  </si>
  <si>
    <t>Admin opens Ask AI from the dashboard</t>
  </si>
  <si>
    <t>Question: which customer added the most stores this month?</t>
  </si>
  <si>
    <t>The answer matches the real data shown in Recent Customer Activity.</t>
  </si>
  <si>
    <t>Click 'Ask AI'</t>
  </si>
  <si>
    <t>Ask which customer added the most stores this month</t>
  </si>
  <si>
    <t>Check the answer matches the real activity data</t>
  </si>
  <si>
    <t>TC_CUSTMGMT_01</t>
  </si>
  <si>
    <t>Verify Customer Management page loads with default customer list</t>
  </si>
  <si>
    <t>Admin user is logged in and navigates to the platform</t>
  </si>
  <si>
    <t>Page loads with 'Customer Management' heading, Search box, '+ Add Customer' button, Industry/Plan/Status filter dropdowns (all set to 'All'), and a table listing all customers with columns Company Name, Industry, Plan, Stores, MRR, Status</t>
  </si>
  <si>
    <t>Click the 'Customers' tab in the top navigation</t>
  </si>
  <si>
    <t>TC_CUSTMGMT_02</t>
  </si>
  <si>
    <t>Verify 'Customers' tab is highlighted as active in top navigation</t>
  </si>
  <si>
    <t>Customer Management page is open</t>
  </si>
  <si>
    <t>'Customers' tab is visually highlighted/underlined as active; Overview, Stores, Users, Industry Rules, Billing &amp; Subscriptions and Platform Settings tabs remain visible and inactive</t>
  </si>
  <si>
    <t>Observe the top navigation bar</t>
  </si>
  <si>
    <t>TC_CUSTMGMT_03</t>
  </si>
  <si>
    <t>Verify search returns matching customer(s)</t>
  </si>
  <si>
    <t>Table contains multiple customers, e.g. 'Acme Industries'</t>
  </si>
  <si>
    <t>Search text: Acme</t>
  </si>
  <si>
    <t>Table filters to show only rows whose Company Name contains 'Acme' (case-insensitive, partial match)</t>
  </si>
  <si>
    <t>Click the 'Search customers...' field</t>
  </si>
  <si>
    <t>Type 'Acme'</t>
  </si>
  <si>
    <t>TC_CUSTMGMT_04</t>
  </si>
  <si>
    <t>Verify search with no matches shows empty state</t>
  </si>
  <si>
    <t>Search text: ZzzNotFound</t>
  </si>
  <si>
    <t>Table shows a 'No customers found' empty state message; no rows are displayed; no error is thrown</t>
  </si>
  <si>
    <t>Type a company name that does not exist, e.g. 'ZzzNotFound'</t>
  </si>
  <si>
    <t>TC_CUSTMGMT_05</t>
  </si>
  <si>
    <t>TC_CUSTMGMT_06</t>
  </si>
  <si>
    <t>Verify Industry filter narrows the list correctly</t>
  </si>
  <si>
    <t>Industry: Fasteners</t>
  </si>
  <si>
    <t>Only customers with Industry = Fasteners are displayed (e.g. Global Parts Co, Fastener Hub)</t>
  </si>
  <si>
    <t>Click the Industry filter dropdown</t>
  </si>
  <si>
    <t>Select 'Fasteners'</t>
  </si>
  <si>
    <t>TC_CUSTMGMT_07</t>
  </si>
  <si>
    <t>Verify Plan and Status filters work individually and combined</t>
  </si>
  <si>
    <t>Plan: Enterprise, Status: Active</t>
  </si>
  <si>
    <t>Table shows only rows matching both Plan = Enterprise AND Status = Active (AND logic applied across filters)</t>
  </si>
  <si>
    <t>Select Plan = 'Enterprise'</t>
  </si>
  <si>
    <t>Select Status = 'Active'</t>
  </si>
  <si>
    <t>TC_CUSTMGMT_08</t>
  </si>
  <si>
    <t>Verify status badge color coding</t>
  </si>
  <si>
    <t>Table contains customers with Active, Trial and Suspended statuses</t>
  </si>
  <si>
    <t>Active = green badge, Trial = orange/amber badge, Suspended = red badge; badge label text matches the underlying status</t>
  </si>
  <si>
    <t>TC_CUSTMGMT_09</t>
  </si>
  <si>
    <t>Verify clicking a customer row updates the right-side detail panel</t>
  </si>
  <si>
    <t>Right panel refreshes to show Global Parts Co's ID, Contact Person, Email, Member Since date, Users count, Stores count and 'View Full Profile' link</t>
  </si>
  <si>
    <t>Click on the 'Global Parts Co' row</t>
  </si>
  <si>
    <t>Observe the right-side panel</t>
  </si>
  <si>
    <t>TC_CUSTMGMT_10</t>
  </si>
  <si>
    <t>Verify '+ Add Customer' button navigation</t>
  </si>
  <si>
    <t>User is navigated to the 'Add New Customer' onboarding page</t>
  </si>
  <si>
    <t>Click the '+ Add Customer' button</t>
  </si>
  <si>
    <t>TC_CUSTMGMT_11</t>
  </si>
  <si>
    <t>Verify 'View Full Profile' navigates to the customer's full profile</t>
  </si>
  <si>
    <t>A customer (Acme Industries) is selected in the right panel</t>
  </si>
  <si>
    <t>User is navigated to Acme Industries' full customer profile page showing complete customer detail</t>
  </si>
  <si>
    <t>Click 'View Full Profile'</t>
  </si>
  <si>
    <t>TC_CUSTMGMT_12</t>
  </si>
  <si>
    <t>Verify Platform Note 'Edit Note' allows editing and persists the change</t>
  </si>
  <si>
    <t>Customer Management page is open with a customer selected</t>
  </si>
  <si>
    <t>Note text: 'Client requested demo of new AI Rule Generator'</t>
  </si>
  <si>
    <t>Note field becomes editable, accepts the updated text, saves successfully and the updated note persists after reload</t>
  </si>
  <si>
    <t>Click the 'Edit Note' icon in the Platform Note panel</t>
  </si>
  <si>
    <t>Modify the note text</t>
  </si>
  <si>
    <t>Save the note</t>
  </si>
  <si>
    <t>Reload the page</t>
  </si>
  <si>
    <t>TC_CUSTMGMT_13</t>
  </si>
  <si>
    <t>Verify row actions (⋮ menu) are restricted for non-admin roles</t>
  </si>
  <si>
    <t>A user with limited/non-admin privileges is logged in</t>
  </si>
  <si>
    <t>Menu options are hidden or disabled for unauthorized roles; only permitted actions are shown for the logged-in role</t>
  </si>
  <si>
    <t>Attempt to open the ⋮ menu on a customer row</t>
  </si>
  <si>
    <t>TC_CUSTMGMT_14</t>
  </si>
  <si>
    <t>Verify MRR and Stores columns display accurate values</t>
  </si>
  <si>
    <t>Acme Industries is a known customer with 8 stores and $4,200 MRR</t>
  </si>
  <si>
    <t>Table values match the customer's actual subscription/billing and store-connection data exactly</t>
  </si>
  <si>
    <t>Compare the MRR/Stores values shown in the table row for Acme Industries against the right-panel Stores count and billing data</t>
  </si>
  <si>
    <t>TC_CUSTMGMT_15</t>
  </si>
  <si>
    <t>Verify page behavior when a customer has zero connected stores</t>
  </si>
  <si>
    <t>A customer record exists with 0 connected stores</t>
  </si>
  <si>
    <t>Stores column shows 0 without error; MRR still reflects the correct plan amount even with no active stores</t>
  </si>
  <si>
    <t>Search for that customer</t>
  </si>
  <si>
    <t>Observe the Stores column and MRR value</t>
  </si>
  <si>
    <t>TC_ADDCUST_01</t>
  </si>
  <si>
    <t>Verify Add New Customer page loads with an empty form</t>
  </si>
  <si>
    <t>Admin user clicks '+ Add Customer' from Customer Management</t>
  </si>
  <si>
    <t>Page displays 'Add New Customer' heading and subtitle, AI Company Onboarding input box, empty General Information fields, Store Platform options, Subscription Plan cards, and Cancel / Save as Draft / Create Customer Account buttons</t>
  </si>
  <si>
    <t>Observe the Add New Customer page</t>
  </si>
  <si>
    <t>TC_ADDCUST_02</t>
  </si>
  <si>
    <t>Verify AI onboarding prompt auto-fills form fields correctly</t>
  </si>
  <si>
    <t>Add New Customer page is open</t>
  </si>
  <si>
    <t>'Onboard TechFlow Solutions, they are a fasteners distributor, professional plan, BigCommerce store'</t>
  </si>
  <si>
    <t>AI response confirms the number of fields auto-filled (e.g. '12 fields auto-filled'); Company Name, Industry, Subscription Plan and Store Platform fields are populated matching the request</t>
  </si>
  <si>
    <t>Type a natural-language onboarding request describing company, industry, plan and platform into the AI prompt box</t>
  </si>
  <si>
    <t>Submit the prompt</t>
  </si>
  <si>
    <t>TC_ADDCUST_03</t>
  </si>
  <si>
    <t>Verify 'Undo changes' reverts AI auto-fill</t>
  </si>
  <si>
    <t>AI has auto-filled the form (per TC_ADDCUST_02)</t>
  </si>
  <si>
    <t>All AI-populated fields are cleared/reset to their blank or default state</t>
  </si>
  <si>
    <t>Click the 'Undo changes' link</t>
  </si>
  <si>
    <t>TC_ADDCUST_04</t>
  </si>
  <si>
    <t>Verify a manually edited field is preserved after AI auto-fill</t>
  </si>
  <si>
    <t>AI has auto-filled the form</t>
  </si>
  <si>
    <t>The manually edited field is not silently overwritten by a subsequent AI fill unless the user explicitly requests that field be updated</t>
  </si>
  <si>
    <t>Manually change the 'Contact Person' value</t>
  </si>
  <si>
    <t>Re-submit or adjust the AI prompt</t>
  </si>
  <si>
    <t>TC_ADDCUST_05</t>
  </si>
  <si>
    <t>Verify mandatory field validation on submit</t>
  </si>
  <si>
    <t>Inline validation error such as 'Company Name is required' is shown; account is not created</t>
  </si>
  <si>
    <t>Leave 'Company Name' blank</t>
  </si>
  <si>
    <t>Click 'Create Customer Account'</t>
  </si>
  <si>
    <t>TC_ADDCUST_06</t>
  </si>
  <si>
    <t>Verify Email field format validation</t>
  </si>
  <si>
    <t>Email: john@techflow</t>
  </si>
  <si>
    <t>'Please enter a valid email address' validation message is shown; form is not submitted</t>
  </si>
  <si>
    <t>Enter an invalid email, e.g. 'john@techflow'</t>
  </si>
  <si>
    <t>TC_ADDCUST_07</t>
  </si>
  <si>
    <t>Verify Store Platform selection is single-select</t>
  </si>
  <si>
    <t>Only the most recently clicked platform stays highlighted/selected; the previous selection is deselected</t>
  </si>
  <si>
    <t>Click 'Shopify'</t>
  </si>
  <si>
    <t>Then click 'Shopware'</t>
  </si>
  <si>
    <t>TC_ADDCUST_08</t>
  </si>
  <si>
    <t>Verify Subscription Plan selection updates price/highlight</t>
  </si>
  <si>
    <t>Selected card is visually highlighted with a check icon; displayed price reflects the selected plan ($99/mo, $299/mo, or Custom for Enterprise)</t>
  </si>
  <si>
    <t>Click the 'Starter' plan card</t>
  </si>
  <si>
    <t>Then click the 'Enterprise' card</t>
  </si>
  <si>
    <t>TC_ADDCUST_09</t>
  </si>
  <si>
    <t>Verify Initial Store URL format validation</t>
  </si>
  <si>
    <t>Store URL: techflow_not_a_url</t>
  </si>
  <si>
    <t>Validation error indicating an invalid URL format is shown</t>
  </si>
  <si>
    <t>Enter an invalid URL, e.g. 'techflow_not_a_url'</t>
  </si>
  <si>
    <t>Attempt to proceed</t>
  </si>
  <si>
    <t>TC_ADDCUST_10</t>
  </si>
  <si>
    <t>Verify 'Create Customer Account' with valid data creates the customer</t>
  </si>
  <si>
    <t>All mandatory fields are ready to be filled with valid data</t>
  </si>
  <si>
    <t>Customer account is created; user is redirected to Customer Management with the new customer visible in the list with correct data</t>
  </si>
  <si>
    <t>Select a platform and a plan</t>
  </si>
  <si>
    <t>TC_ADDCUST_11</t>
  </si>
  <si>
    <t>Verify 'Save as Draft' stores partial data without full validation</t>
  </si>
  <si>
    <t>Draft is saved without enforcing full mandatory-field validation; draft is retrievable later for completion</t>
  </si>
  <si>
    <t>Fill only Company Name</t>
  </si>
  <si>
    <t>Leave other fields blank</t>
  </si>
  <si>
    <t>Click 'Save as Draft'</t>
  </si>
  <si>
    <t>TC_ADDCUST_12</t>
  </si>
  <si>
    <t>Verify 'Cancel' discards changes</t>
  </si>
  <si>
    <t>User is returned to the Customer Management page; no new customer or draft record is created</t>
  </si>
  <si>
    <t>Enter data into several fields</t>
  </si>
  <si>
    <t>TC_ADDCUST_13</t>
  </si>
  <si>
    <t>Verify duplicate company name / email is rejected</t>
  </si>
  <si>
    <t>A customer 'Acme Industries' with email j.doe@acme.com already exists</t>
  </si>
  <si>
    <t>System shows a duplicate-record validation error and blocks creation</t>
  </si>
  <si>
    <t>Attempt to create a new customer with the same company name/email</t>
  </si>
  <si>
    <t>TC_ADDCUST_14</t>
  </si>
  <si>
    <t>Verify AI prompt with irrelevant/garbage text does not corrupt the form</t>
  </si>
  <si>
    <t>'asdkjaskjd 1234 !!!'</t>
  </si>
  <si>
    <t>AI gracefully indicates it could not extract structured details; no fields are incorrectly filled; form remains in a safe, unaffected state</t>
  </si>
  <si>
    <t>Enter meaningless text (e.g. 'asdkjaskjd 1234 !!!') into the AI prompt box</t>
  </si>
  <si>
    <t>TC_ADDCUST_15</t>
  </si>
  <si>
    <t>Verify script/HTML injection in Company Name and Admin Notes is sanitized</t>
  </si>
  <si>
    <t>Enter '&lt;script&gt;alert(1)&lt;/script&gt;' in Company Name and Admin Notes fields</t>
  </si>
  <si>
    <t>TC_CONNSTORES_01</t>
  </si>
  <si>
    <t>Verify Connected Stores page loads with correct summary cards</t>
  </si>
  <si>
    <t>Admin user navigates to the 'Stores' tab</t>
  </si>
  <si>
    <t>Page shows 'Connected Stores' heading, a Total Stores card and per-platform cards (BigCommerce, Shopify, Shopware, Custom) with counts, a '+ Connect Store' button, and a store table</t>
  </si>
  <si>
    <t>TC_CONNSTORES_02</t>
  </si>
  <si>
    <t>Verify Total Stores equals the sum of platform-specific counts</t>
  </si>
  <si>
    <t>Connected Stores page is open</t>
  </si>
  <si>
    <t>Total=127, BigCommerce=54, Shopify=41, Shopware=22, Custom=10</t>
  </si>
  <si>
    <t>Sum of BigCommerce + Shopify + Shopware + Custom equals the Total Stores value exactly</t>
  </si>
  <si>
    <t>Read the Total Stores value and each platform card value</t>
  </si>
  <si>
    <t>Sum the platform values</t>
  </si>
  <si>
    <t>TC_CONNSTORES_03</t>
  </si>
  <si>
    <t>Verify platform filter chips filter the table correctly</t>
  </si>
  <si>
    <t>Table shows only stores where Platform = Shopify; row count matches the Shopify summary card count</t>
  </si>
  <si>
    <t>Click the 'Shopify' filter chip</t>
  </si>
  <si>
    <t>TC_CONNSTORES_04</t>
  </si>
  <si>
    <t>Verify 'All Platforms' resets the filter</t>
  </si>
  <si>
    <t>A platform filter is currently applied</t>
  </si>
  <si>
    <t>Table reverts to showing all 127 connected stores across every platform</t>
  </si>
  <si>
    <t>Click 'All Platforms'</t>
  </si>
  <si>
    <t>TC_CONNSTORES_05</t>
  </si>
  <si>
    <t>Verify a filter with zero matching stores (e.g. Magento) shows an empty state</t>
  </si>
  <si>
    <t>Table shows an empty/no-data state with an appropriate message; no error is thrown</t>
  </si>
  <si>
    <t>Click the 'Magento' filter (0 stores connected)</t>
  </si>
  <si>
    <t>TC_CONNSTORES_06</t>
  </si>
  <si>
    <t>Verify Sync Status color-coding and labels</t>
  </si>
  <si>
    <t>Table contains stores with SYNCED, SYNCING and ERROR statuses</t>
  </si>
  <si>
    <t>SYNCED = green, SYNCING = orange/amber with an 'In Progress' subtext, ERROR = red with a time-since-error subtext</t>
  </si>
  <si>
    <t>Observe the Sync Status column across rows (e.g. Acme-US, Global-Main, F-Hub-EU)</t>
  </si>
  <si>
    <t>TC_CONNSTORES_07</t>
  </si>
  <si>
    <t>Verify '+ Connect Store' navigates to the Connect New Store wizard</t>
  </si>
  <si>
    <t>User is navigated to the 'Connect New Store' wizard, Step 1 'Select Platform'</t>
  </si>
  <si>
    <t>Click '+ Connect Store'</t>
  </si>
  <si>
    <t>TC_CONNSTORES_08</t>
  </si>
  <si>
    <t>Verify a store in ERROR status surfaces failure detail</t>
  </si>
  <si>
    <t>'F-Hub-EU' store shows ERROR sync status</t>
  </si>
  <si>
    <t>A tooltip or panel shows the sync failure reason and the last-attempt timestamp</t>
  </si>
  <si>
    <t>Click/hover the ERROR status badge or gear icon for F-Hub-EU</t>
  </si>
  <si>
    <t>TC_CONNSTORES_09</t>
  </si>
  <si>
    <t>Verify Orders(30D) and Revenue(30D) values reconcile with the store-level dashboard</t>
  </si>
  <si>
    <t>'Acme-US' shows 850 orders / $42,000 revenue in this table</t>
  </si>
  <si>
    <t>Values match exactly between the Connected Stores table and the store's own Dashboard</t>
  </si>
  <si>
    <t>Compare Acme-US Orders/Revenue in this table against the same store's Dashboard KPI cards</t>
  </si>
  <si>
    <t>TC_CONNSTORES_10</t>
  </si>
  <si>
    <t>Verify gear/settings icon opens store configuration</t>
  </si>
  <si>
    <t>Store settings/configuration panel or page opens for Swift-Shop</t>
  </si>
  <si>
    <t>Click the gear icon on the 'Swift-Shop' row</t>
  </si>
  <si>
    <t>TC_CONNSTORES_11</t>
  </si>
  <si>
    <t>Verify summary cards update after a new store is connected</t>
  </si>
  <si>
    <t>A new store is connected via the Connect Store wizard</t>
  </si>
  <si>
    <t>Total Stores and the relevant platform card increment by 1 without requiring more than one page refresh; no stale counts</t>
  </si>
  <si>
    <t>Return to the Connected Stores page after completing the wizard</t>
  </si>
  <si>
    <t>TC_CONNSTORES_12</t>
  </si>
  <si>
    <t>Verify page handles zero connected stores gracefully</t>
  </si>
  <si>
    <t>No stores are connected on the platform</t>
  </si>
  <si>
    <t>All summary cards show 0; table shows an empty state prompting the user to 'Connect Store'; no errors occur</t>
  </si>
  <si>
    <t>Load the Connected Stores page</t>
  </si>
  <si>
    <t>TC_CONNSTORES_13</t>
  </si>
  <si>
    <t>Verify store name in the table links to store detail/analytics</t>
  </si>
  <si>
    <t>User navigates to that store's detail/analytics view</t>
  </si>
  <si>
    <t>Click on the 'MRO-Retail' store name</t>
  </si>
  <si>
    <t>TC_CSPLAT_01</t>
  </si>
  <si>
    <t>Verify Step 1 page loads with 4 platform options and correct stepper state</t>
  </si>
  <si>
    <t>Admin clicks '+ Connect Store' from the Connected Stores page</t>
  </si>
  <si>
    <t>'Connect New Store' wizard opens on Step 1 'Select Platform' (active in stepper); Steps 2-4 shown inactive/greyed; BigCommerce, Shopify, Shopware and Custom Platform cards are displayed each with a connected-store count</t>
  </si>
  <si>
    <t>Observe the wizard</t>
  </si>
  <si>
    <t>TC_CSPLAT_02</t>
  </si>
  <si>
    <t>Verify selecting a platform highlights it and shows a 'SELECTED' badge</t>
  </si>
  <si>
    <t>Step 1 'Select Platform' is displayed</t>
  </si>
  <si>
    <t>Shopify card is outlined/highlighted and shows a 'SELECTED' badge; any previously selected card is de-highlighted</t>
  </si>
  <si>
    <t>Click the 'Shopify' card</t>
  </si>
  <si>
    <t>TC_CSPLAT_03</t>
  </si>
  <si>
    <t>Verify 'Next Step' is blocked until a platform is chosen</t>
  </si>
  <si>
    <t>Fresh wizard load, no platform selected</t>
  </si>
  <si>
    <t>Action is blocked; a validation prompt ('Please select a platform') is shown, or the button remains disabled</t>
  </si>
  <si>
    <t>Click 'Next Step' without selecting a platform</t>
  </si>
  <si>
    <t>TC_CSPLAT_04</t>
  </si>
  <si>
    <t>Verify 'Next Step' proceeds to Store Details with the selection carried over</t>
  </si>
  <si>
    <t>Wizard advances to Step 2 'Store Details'; Step 1 shows a checkmark (completed); the Store Details screen reflects BigCommerce as the chosen platform</t>
  </si>
  <si>
    <t>Select 'BigCommerce'</t>
  </si>
  <si>
    <t>Click 'Next Step'</t>
  </si>
  <si>
    <t>TC_CSPLAT_05</t>
  </si>
  <si>
    <t>Verify 'Cancel' exits the wizard without creating a draft</t>
  </si>
  <si>
    <t>User returns to the Connected Stores page; no new/incomplete store record is created</t>
  </si>
  <si>
    <t>TC_CSPLAT_06</t>
  </si>
  <si>
    <t>Verify platform connected-store counts match the Connected Stores summary cards</t>
  </si>
  <si>
    <t>Values are identical between the two pages</t>
  </si>
  <si>
    <t>Compare counts on each platform card (54/41/22/10) to the Connected Stores summary cards</t>
  </si>
  <si>
    <t>TC_CSPLAT_07</t>
  </si>
  <si>
    <t>Verify the 'Ask AI' floating button opens the AI assistant</t>
  </si>
  <si>
    <t>An AI assistant chat panel opens, allowing the admin to ask questions about the connection process</t>
  </si>
  <si>
    <t>TC_CSPLAT_08</t>
  </si>
  <si>
    <t>Verify selecting 'Custom Platform' routes to an API-integration-specific Store Details form</t>
  </si>
  <si>
    <t>Step 2 shows fields relevant to a custom API integration (generic API endpoint fields) rather than a named-platform-specific form</t>
  </si>
  <si>
    <t>Select 'Custom Platform'</t>
  </si>
  <si>
    <t>TC_CSPLAT_09</t>
  </si>
  <si>
    <t>Verify the 'Stores' breadcrumb link exits the wizard mid-flow</t>
  </si>
  <si>
    <t>A platform is selected on Step 1</t>
  </si>
  <si>
    <t>User is taken back to the Connected Stores list; wizard progress is discarded, or a confirmation prompt appears before leaving</t>
  </si>
  <si>
    <t>Click the 'Stores' breadcrumb link instead of 'Next Step'</t>
  </si>
  <si>
    <t>TC_CSDETAIL_01</t>
  </si>
  <si>
    <t>Verify Step 2 loads with correct stepper state and platform-specific heading</t>
  </si>
  <si>
    <t>Step 1 was completed with BigCommerce selected</t>
  </si>
  <si>
    <t>Stepper shows Step 1 checked and Step 2 active; heading reads 'BigCommerce Store Details'; Store Information and API Credentials sections are visible</t>
  </si>
  <si>
    <t>Observe Step 2</t>
  </si>
  <si>
    <t>TC_CSDETAIL_02</t>
  </si>
  <si>
    <t>Verify the Customer dropdown lists existing customers only</t>
  </si>
  <si>
    <t>Step 2 'Store Details' is displayed</t>
  </si>
  <si>
    <t>Dropdown lists all existing customers from Customer Management (e.g. TechFlow Solutions, Acme Industries); no duplicate or non-existent entries appear</t>
  </si>
  <si>
    <t>Click the 'Customer' dropdown</t>
  </si>
  <si>
    <t>TC_CSDETAIL_03</t>
  </si>
  <si>
    <t>Verify mandatory field validation when required fields are left blank</t>
  </si>
  <si>
    <t>Field-level validation errors are shown for each blank mandatory field; wizard does not advance</t>
  </si>
  <si>
    <t>Leave Store Name, Store URL, Client ID, Client Secret and Access Token blank</t>
  </si>
  <si>
    <t>TC_CSDETAIL_04</t>
  </si>
  <si>
    <t>Verify Store URL format validation</t>
  </si>
  <si>
    <t>Store URL: techflow us store</t>
  </si>
  <si>
    <t>'Please enter a valid store URL' error shown; form is not submitted</t>
  </si>
  <si>
    <t>Enter an invalid URL, e.g. 'techflow us store'</t>
  </si>
  <si>
    <t>TC_CSDETAIL_05</t>
  </si>
  <si>
    <t>Verify Client Secret and Access Token fields are masked by default</t>
  </si>
  <si>
    <t>Characters are displayed as masked dots; no plain-text reveal is exposed for these sensitive fields</t>
  </si>
  <si>
    <t>Enter values into 'Client Secret' and 'Access Token' fields</t>
  </si>
  <si>
    <t>TC_CSDETAIL_06</t>
  </si>
  <si>
    <t>Verify 'Test API Connection' succeeds with valid credentials</t>
  </si>
  <si>
    <t>A success indicator/message confirms the credentials are valid and the store is reachable</t>
  </si>
  <si>
    <t>Enter a valid API Path, Client ID, Client Secret and Access Token</t>
  </si>
  <si>
    <t>Click 'Test API Connection'</t>
  </si>
  <si>
    <t>TC_CSDETAIL_07</t>
  </si>
  <si>
    <t>Verify 'Test API Connection' fails gracefully with invalid credentials</t>
  </si>
  <si>
    <t>A clear failure message is shown (e.g. 'Authentication failed'); no crash occurs; wizard remains on Step 2</t>
  </si>
  <si>
    <t>Enter an incorrect Client Secret</t>
  </si>
  <si>
    <t>TC_CSDETAIL_08</t>
  </si>
  <si>
    <t>Verify Initial Sync Settings checkboxes toggle independently</t>
  </si>
  <si>
    <t>Each checkbox state changes independently without affecting the other checkboxes</t>
  </si>
  <si>
    <t>Uncheck 'Inventory'</t>
  </si>
  <si>
    <t>Check 'Pricing Rules'</t>
  </si>
  <si>
    <t>TC_CSDETAIL_09</t>
  </si>
  <si>
    <t>Verify 'Back' returns to Select Platform with the prior selection retained</t>
  </si>
  <si>
    <t>Step 2 'Store Details' is displayed, reached via BigCommerce</t>
  </si>
  <si>
    <t>Wizard returns to Step 1 with BigCommerce still marked as selected</t>
  </si>
  <si>
    <t>TC_CSDETAIL_10</t>
  </si>
  <si>
    <t>Verify a duplicate Store URL is rejected</t>
  </si>
  <si>
    <t>A store with URL 'techflow-us.mybigcommerce.com' is already connected</t>
  </si>
  <si>
    <t>Store URL: techflow-us.mybigcommerce.com</t>
  </si>
  <si>
    <t>Validation error indicates the store URL is already connected; wizard does not advance</t>
  </si>
  <si>
    <t>Enter the same Store URL for a new store</t>
  </si>
  <si>
    <t>TC_CSDETAIL_11</t>
  </si>
  <si>
    <t>Verify script/SQL injection payloads in text fields are sanitized</t>
  </si>
  <si>
    <t>Input is sanitized/escaped; no script executes; no unsafe data is stored</t>
  </si>
  <si>
    <t>Enter '&lt;script&gt;alert(1)&lt;/script&gt;' in Store Name and Admin Notes</t>
  </si>
  <si>
    <t>TC_CSDETAIL_12</t>
  </si>
  <si>
    <t>Verify Industry and Store Region dropdowns show the correct predefined values</t>
  </si>
  <si>
    <t>Both dropdowns show the correct, complete predefined lists (Industries: Fasteners, MRO Parts, Show Management, etc.; Regions: North America, EMEA, APAC, etc.)</t>
  </si>
  <si>
    <t>Open the Industry dropdown</t>
  </si>
  <si>
    <t>Open the Store Region dropdown</t>
  </si>
  <si>
    <t>TC_CSDETAIL_13</t>
  </si>
  <si>
    <t>Verify sensitive credential values are not exposed in page source</t>
  </si>
  <si>
    <t>Client Secret / Access Token values have been entered</t>
  </si>
  <si>
    <t>Field values are not exposed as plain text in the DOM beyond expected masked-input handling; no values are logged to the browser console</t>
  </si>
  <si>
    <t>Inspect the rendered HTML/page source and browser console</t>
  </si>
  <si>
    <t>TC_CSVERIFY_01</t>
  </si>
  <si>
    <t>Verify Step 3 runs all six verification checks automatically</t>
  </si>
  <si>
    <t>Step 2 was completed with valid data</t>
  </si>
  <si>
    <t>Step 3 'Verifying Store Connection' automatically runs API Authentication, Store Access, Product Catalog, Order History, Customer Data and Inventory Sync checks, each showing a green checkmark on success</t>
  </si>
  <si>
    <t>Click 'Next Step' from Step 2</t>
  </si>
  <si>
    <t>TC_CSVERIFY_02</t>
  </si>
  <si>
    <t>Verify the success summary box shows accurate details</t>
  </si>
  <si>
    <t>All six checks completed successfully</t>
  </si>
  <si>
    <t>A 'Connection Verified Successfully' box appears showing the correct Store Name, Platform, Products Found and Region, matching Step 2 inputs and the store's actual catalog</t>
  </si>
  <si>
    <t>Observe the summary box</t>
  </si>
  <si>
    <t>TC_CSVERIFY_03</t>
  </si>
  <si>
    <t>Verify a failed API Authentication check is reported and blocks progress</t>
  </si>
  <si>
    <t>Invalid credentials were carried over from Step 2</t>
  </si>
  <si>
    <t>API Authentication shows a failure indicator with an explanatory message; 'Complete Setup' is disabled; user can navigate Back to fix credentials</t>
  </si>
  <si>
    <t>Observe the API Authentication check result</t>
  </si>
  <si>
    <t>TC_CSVERIFY_04</t>
  </si>
  <si>
    <t>Verify a partial failure is reported per individual check</t>
  </si>
  <si>
    <t>Store API is reachable but the Order History service is temporarily unavailable</t>
  </si>
  <si>
    <t>Passing checks show green checkmarks; the failing check (Order History) shows a distinct failure/warning indicator with its own message; other checks are unaffected</t>
  </si>
  <si>
    <t>Observe all six checks</t>
  </si>
  <si>
    <t>TC_CSVERIFY_05</t>
  </si>
  <si>
    <t>Verify 'Complete Setup' is enabled only after full successful verification</t>
  </si>
  <si>
    <t>Verification checks are running</t>
  </si>
  <si>
    <t>Button is disabled/inactive while checks are running or if any check fails; becomes enabled only once all six checks pass</t>
  </si>
  <si>
    <t>Observe the 'Complete Setup' button state before and after all checks pass</t>
  </si>
  <si>
    <t>TC_CSVERIFY_06</t>
  </si>
  <si>
    <t>Verify 'Back' allows returning to Store Details to correct data after a failure</t>
  </si>
  <si>
    <t>Verification failed</t>
  </si>
  <si>
    <t>User returns to Step 2 with previously entered data intact for correction</t>
  </si>
  <si>
    <t>TC_CSVERIFY_07</t>
  </si>
  <si>
    <t>Verify graceful handling of a slow/timing-out verification call</t>
  </si>
  <si>
    <t>A simulated slow API response is in effect for one of the checks</t>
  </si>
  <si>
    <t>A loading/pending state is shown (not a false pass/fail); after the timeout threshold, a timeout-specific error is displayed rather than the UI hanging indefinitely</t>
  </si>
  <si>
    <t>Observe the UI while the check is pending beyond the expected time</t>
  </si>
  <si>
    <t>TC_CSVERIFY_08</t>
  </si>
  <si>
    <t>Verify Product/Order/Customer counts shown match the source store</t>
  </si>
  <si>
    <t>Verification completed successfully</t>
  </si>
  <si>
    <t>Counts displayed exactly match the source platform's real catalog/order/customer counts</t>
  </si>
  <si>
    <t>Compare 'Found 2,847 products', '1,203 orders in the last 30 days' and '534 customer records' against the actual store's data</t>
  </si>
  <si>
    <t>TC_CSCOMPLETE_01</t>
  </si>
  <si>
    <t>Verify Step 4 confirms successful connection with an accurate summary</t>
  </si>
  <si>
    <t>Step 3 completed with full successful verification</t>
  </si>
  <si>
    <t>'Store Connected Successfully!' message is shown; Connection Summary lists correct Store Name, Customer, Platform, Store URL, Industry, Region and Products, matching data entered in Steps 1-3</t>
  </si>
  <si>
    <t>Click 'Complete Setup'</t>
  </si>
  <si>
    <t>TC_CSCOMPLETE_02</t>
  </si>
  <si>
    <t>Verify the Sync Status progress bar updates in real time</t>
  </si>
  <si>
    <t>Store setup was just completed</t>
  </si>
  <si>
    <t>Progress percentage increases over time (e.g. from 15% upward) with an updating status label (e.g. 'Syncing product catalog...', 'Syncing orders...') until it reaches 100%/Complete</t>
  </si>
  <si>
    <t>Observe the sync progress bar over several minutes after Complete Setup</t>
  </si>
  <si>
    <t>TC_CSCOMPLETE_03</t>
  </si>
  <si>
    <t>Verify 'Connect Another Store' restarts the wizard cleanly</t>
  </si>
  <si>
    <t>Step 4 'Complete' is displayed</t>
  </si>
  <si>
    <t>Wizard returns to Step 1 'Select Platform' with no previous selections carried over and all fields cleared</t>
  </si>
  <si>
    <t>Click 'Connect Another Store'</t>
  </si>
  <si>
    <t>TC_CSCOMPLETE_04</t>
  </si>
  <si>
    <t>Verify 'Go to Stores Dashboard' shows the newly connected store</t>
  </si>
  <si>
    <t>User is navigated to the Connected Stores page; the new store (e.g. TechFlow-US) appears in the table with correct Platform and Customer and an in-progress or synced status; summary card counts are incremented</t>
  </si>
  <si>
    <t>Click 'Go to Stores Dashboard'</t>
  </si>
  <si>
    <t>TC_CSCOMPLETE_05</t>
  </si>
  <si>
    <t>Verify default industry rules are auto-applied based on the selected Industry</t>
  </si>
  <si>
    <t>Store was connected with Industry = Show Management</t>
  </si>
  <si>
    <t>Note confirms default industry rules have been applied; the Industry Rules tab for this store reflects the applied default rule set</t>
  </si>
  <si>
    <t>Observe the 'What Happens Next' note referencing default rules for the selected Industry</t>
  </si>
  <si>
    <t>TC_CSCOMPLETE_06</t>
  </si>
  <si>
    <t>Verify the 'Industry Rules' link navigates to the Industry Rules tab</t>
  </si>
  <si>
    <t>User is navigated to the Industry Rules tab, optionally scoped/filtered to the new store</t>
  </si>
  <si>
    <t>Click the 'Industry Rules' link in the note</t>
  </si>
  <si>
    <t>TC_CSCOMPLETE_07</t>
  </si>
  <si>
    <t>Verify the page reflects a sync failure if one occurs after Complete Setup</t>
  </si>
  <si>
    <t>Initial sync fails post-completion (e.g. API rate limit hit)</t>
  </si>
  <si>
    <t>Sync Status area updates to reflect an error state with an actionable message, instead of silently remaining at a stale progress percentage</t>
  </si>
  <si>
    <t>Observe the Sync Status area after the failure occurs</t>
  </si>
  <si>
    <t>TC_CSCOMPLETE_08</t>
  </si>
  <si>
    <t>Verify a customer notification email is triggered</t>
  </si>
  <si>
    <t>Per 'What Happens Next', the customer receives an email notification about the new store connection and access details</t>
  </si>
  <si>
    <t>Check the customer contact's mailbox/notification log</t>
  </si>
  <si>
    <t>TC_CSCOMPLETE_09</t>
  </si>
  <si>
    <t>Verify the Platform name link on the summary navigates correctly</t>
  </si>
  <si>
    <t>User navigates to platform-specific settings/documentation or a filtered store list for that platform</t>
  </si>
  <si>
    <t>Click the 'BigCommerce' platform link in the Connection Summary</t>
  </si>
  <si>
    <t>TC_CSCOMPLETE_10</t>
  </si>
  <si>
    <t>Verify new store data appears in Admin Dashboard KPIs after sync completes</t>
  </si>
  <si>
    <t>Initial sync has finished</t>
  </si>
  <si>
    <t>Connected Stores / Total Customers KPI cards on the Admin Dashboard reflect the newly added store without manual intervention</t>
  </si>
  <si>
    <t>Navigate to the Admin Dashboard</t>
  </si>
  <si>
    <t>TC_USERMGMT_01</t>
  </si>
  <si>
    <t>Verify User Management page loads with default view</t>
  </si>
  <si>
    <t>Platform Admin navigates to the 'Users' tab</t>
  </si>
  <si>
    <t>Page loads with 'User Management' heading, Search box, 'All Roles' filter dropdown, 'Invite User' button, summary cards (Total Users, Admins, Business Users, Customer Users), a user table (Name, Company, Role, Status, Last Login, Actions), Role Permissions panel and System Activity panel on the right</t>
  </si>
  <si>
    <t>Observe the page header, summary cards, filters, and table</t>
  </si>
  <si>
    <t>TC_USERMGMT_02</t>
  </si>
  <si>
    <t>Verify summary cards reflect accurate counts</t>
  </si>
  <si>
    <t>User Management page is open</t>
  </si>
  <si>
    <t>Each summary card's value matches the true count of users in that category; Total Users equals the sum of all role categories (Admins + Business Users + Customer Users + Approvers, etc.)</t>
  </si>
  <si>
    <t>Compare Total Users (1,284), Admins (24), Business Users (312) and Customer Users (948) cards against the actual counts of users with each role</t>
  </si>
  <si>
    <t>TC_USERMGMT_03</t>
  </si>
  <si>
    <t>Verify search by user name returns matching results</t>
  </si>
  <si>
    <t>Table contains multiple users, e.g. 'John Doe'</t>
  </si>
  <si>
    <t>Search text: John</t>
  </si>
  <si>
    <t>Table filters to show only users whose name contains 'John' (case-insensitive, partial match)</t>
  </si>
  <si>
    <t>Type 'John' into the search box</t>
  </si>
  <si>
    <t>TC_USERMGMT_04</t>
  </si>
  <si>
    <t>Verify search by email returns matching results</t>
  </si>
  <si>
    <t>Search text: sarah@global.com</t>
  </si>
  <si>
    <t>Table filters to show only the user with that email ('Sarah Smith')</t>
  </si>
  <si>
    <t>Type 'sarah@global.com' into the search box</t>
  </si>
  <si>
    <t>TC_USERMGMT_05</t>
  </si>
  <si>
    <t>Search text: ZzzNoUser</t>
  </si>
  <si>
    <t>Table shows a 'No users found' empty state message; no rows displayed; no error is thrown</t>
  </si>
  <si>
    <t>Type a name/email that does not exist, e.g. 'ZzzNoUser'</t>
  </si>
  <si>
    <t>TC_USERMGMT_06</t>
  </si>
  <si>
    <t>TC_USERMGMT_07</t>
  </si>
  <si>
    <t>Verify 'All Roles' filter narrows the table by role</t>
  </si>
  <si>
    <t>Table contains users with multiple roles</t>
  </si>
  <si>
    <t>Role: Business User</t>
  </si>
  <si>
    <t>Only users with Role = Business User are displayed (e.g. Sarah Smith, David Wilson)</t>
  </si>
  <si>
    <t>Click the 'All Roles' dropdown</t>
  </si>
  <si>
    <t>Select 'Business User'</t>
  </si>
  <si>
    <t>TC_USERMGMT_08</t>
  </si>
  <si>
    <t>Verify Role badge color coding</t>
  </si>
  <si>
    <t>Table contains Platform Admin, Business User, Customer User and Approver roles</t>
  </si>
  <si>
    <t>Each role displays a distinct, consistent badge style (e.g. Platform Admin in a highlighted/orange badge, other roles in their own distinct styles) matching the role text exactly</t>
  </si>
  <si>
    <t>Observe the Role column across rows</t>
  </si>
  <si>
    <t>TC_USERMGMT_09</t>
  </si>
  <si>
    <t>Table contains Active, Pending and Inactive users</t>
  </si>
  <si>
    <t>Active = green badge, Pending = orange/amber badge, Inactive = red badge; badge text matches the underlying status</t>
  </si>
  <si>
    <t>Observe the Status column across rows (e.g. John Doe = Active, Mike Johnson = Pending, David Wilson = Inactive)</t>
  </si>
  <si>
    <t>TC_USERMGMT_10</t>
  </si>
  <si>
    <t>Verify 'Last Login' displays 'Never' for users who have not logged in and relative time for others</t>
  </si>
  <si>
    <t>'Mike Johnson' has never logged in; other users have login timestamps</t>
  </si>
  <si>
    <t>Mike Johnson's Last Login shows 'Never'; other users show an accurate relative time (e.g. '2 mins ago', '3 hours ago', '2 days ago') matching their actual last login timestamp</t>
  </si>
  <si>
    <t>Observe the Last Login column for Mike Johnson and for an active user, e.g. John Doe</t>
  </si>
  <si>
    <t>TC_USERMGMT_11</t>
  </si>
  <si>
    <t>'Showing 1-7 of 1,284 users' is displayed with pages 1, 2, 3</t>
  </si>
  <si>
    <t>Table updates to show the next set of users; the active page number updates correctly; navigating past the last page or before page 1 is not possible</t>
  </si>
  <si>
    <t>TC_USERMGMT_12</t>
  </si>
  <si>
    <t>Verify 'Invite User' button navigates to the Invite Team Member page</t>
  </si>
  <si>
    <t>User is navigated to the 'Invite Team Member' page with an empty form</t>
  </si>
  <si>
    <t>Click '+ Invite User'</t>
  </si>
  <si>
    <t>TC_USERMGMT_13</t>
  </si>
  <si>
    <t>Verify the row ⋮ actions menu offers valid actions</t>
  </si>
  <si>
    <t>A menu opens with relevant actions (e.g. Edit Role, Reactivate/Deactivate, Resend Invite, Remove User); actions shown are appropriate to the user's current status (e.g. 'Resend Invite' only for Pending users)</t>
  </si>
  <si>
    <t>Click the ⋮ icon on the 'David Wilson' row</t>
  </si>
  <si>
    <t>TC_USERMGMT_14</t>
  </si>
  <si>
    <t>Verify deactivating a user updates their status immediately</t>
  </si>
  <si>
    <t>'Anna Garcia' is currently Active</t>
  </si>
  <si>
    <t>Anna Garcia's Status badge updates to 'Inactive' in the table without requiring a full page reload; the change persists on refresh</t>
  </si>
  <si>
    <t>Open the ⋮ menu for Anna Garcia</t>
  </si>
  <si>
    <t>Select 'Deactivate'</t>
  </si>
  <si>
    <t>Confirm the action</t>
  </si>
  <si>
    <t>TC_USERMGMT_15</t>
  </si>
  <si>
    <t>Verify User Management is restricted to authorized roles</t>
  </si>
  <si>
    <t>A user with a non-admin role (e.g. Customer User) is logged in</t>
  </si>
  <si>
    <t>Access is denied or the tab is not shown/selectable for unauthorized roles, per the Role Permissions definitions</t>
  </si>
  <si>
    <t>Attempt to navigate to the 'Users' tab / User Management URL directly</t>
  </si>
  <si>
    <t>TC_USERMGMT_16</t>
  </si>
  <si>
    <t>Verify the Role Permissions reference panel displays accurate descriptions</t>
  </si>
  <si>
    <t>Each role's description accurately summarizes its access level (e.g. Platform Admin = 'Full system access including billing, security settings, and user provisioning'; Business User = 'Manage customers, stores, and products. Cannot access platform settings')</t>
  </si>
  <si>
    <t>Observe the 'Role Permissions' panel for Platform Admin, Business User, Approver and Customer User</t>
  </si>
  <si>
    <t>TC_USERMGMT_17</t>
  </si>
  <si>
    <t>Verify 'Manage All Roles' link navigates to role configuration</t>
  </si>
  <si>
    <t>User is navigated to a role/permission configuration screen where role definitions can be edited</t>
  </si>
  <si>
    <t>Click 'Manage All Roles'</t>
  </si>
  <si>
    <t>TC_USERMGMT_18</t>
  </si>
  <si>
    <t>Verify the System Activity panel shows recent activity, most recent first</t>
  </si>
  <si>
    <t>Recent platform actions have occurred (e.g. a new user added, a store connected, a billing plan upgraded)</t>
  </si>
  <si>
    <t>Activity entries are listed in reverse-chronological order (most recent first) with accurate descriptions and relative timestamps (e.g. '10m ago', '2h ago', '5h ago')</t>
  </si>
  <si>
    <t>Observe the 'System Activity' panel</t>
  </si>
  <si>
    <t>TC_USERMGMT_19</t>
  </si>
  <si>
    <t>Verify 'Ask AI' opens the AI assistant</t>
  </si>
  <si>
    <t>An AI assistant chat panel opens, allowing the admin to ask questions about users/roles</t>
  </si>
  <si>
    <t>TC_INVITEUSER_01</t>
  </si>
  <si>
    <t>Verify Invite Team Member page loads with an empty form</t>
  </si>
  <si>
    <t>Admin clicks '+ Invite User' from User Management</t>
  </si>
  <si>
    <t>Page shows 'Invite Team Member' heading and subtitle, an empty AI User Setup chat box, empty User Details fields, no Platform Role card pre-selected, an empty Permissions Matrix, an empty Assigned Customers list, default Notification Preferences (Email Alerts ON, Slack Integration OFF), and Cancel/Save as Draft/Send Invitation buttons</t>
  </si>
  <si>
    <t>TC_INVITEUSER_02</t>
  </si>
  <si>
    <t>Verify AI User Setup auto-fills fields accurately from a natural-language request</t>
  </si>
  <si>
    <t>Invite Team Member page is open</t>
  </si>
  <si>
    <t>'Add Sarah Lane as account manager for TechFlow Solutions and Meridian Parts, she needs customer and store management access.'</t>
  </si>
  <si>
    <t>AI response confirms the configuration (e.g. 'Sarah Lane has been configured as an Account Manager...') and the number of fields auto-filled (e.g. '12 fields auto-filled'); Full Name, Email, Platform Role (Account Manager), Assigned Customers (TechFlow Solutions, Meridian Parts) and relevant Permissions Matrix items are populated to match the request</t>
  </si>
  <si>
    <t>Type a request naming the person, role and assigned customers into the AI chat box</t>
  </si>
  <si>
    <t>TC_INVITEUSER_03</t>
  </si>
  <si>
    <t>Verify 'Undo changes' reverts the AI auto-fill</t>
  </si>
  <si>
    <t>AI has auto-filled the form (per TC_INVITEUSER_02)</t>
  </si>
  <si>
    <t>All AI-populated fields (User Details, Platform Role, Permissions Matrix, Assigned Customers) are cleared/reset to their blank or default state</t>
  </si>
  <si>
    <t>Click 'Undo changes'</t>
  </si>
  <si>
    <t>TC_INVITEUSER_04</t>
  </si>
  <si>
    <t>Manually change the 'Email Address' value</t>
  </si>
  <si>
    <t>TC_INVITEUSER_05</t>
  </si>
  <si>
    <t>Verify mandatory field validation when Full Name is blank</t>
  </si>
  <si>
    <t>'Full Name is required' validation error is shown; invitation is not sent</t>
  </si>
  <si>
    <t>Leave 'Full Name' blank</t>
  </si>
  <si>
    <t>Fill other required fields</t>
  </si>
  <si>
    <t>Click 'Send Invitation'</t>
  </si>
  <si>
    <t>TC_INVITEUSER_06</t>
  </si>
  <si>
    <t>Verify mandatory field validation when Email Address is blank</t>
  </si>
  <si>
    <t>'Email Address is required' validation error is shown; invitation is not sent</t>
  </si>
  <si>
    <t>Leave 'Email Address' blank</t>
  </si>
  <si>
    <t>TC_INVITEUSER_07</t>
  </si>
  <si>
    <t>Verify Email Address format validation</t>
  </si>
  <si>
    <t>Email: sarah.lane@arizon</t>
  </si>
  <si>
    <t>'Please enter a valid email address' validation message is shown; invitation is not sent</t>
  </si>
  <si>
    <t>Enter an invalid email, e.g. 'sarah.lane@arizon'</t>
  </si>
  <si>
    <t>TC_INVITEUSER_08</t>
  </si>
  <si>
    <t>Verify inviting an email that already belongs to an existing user is rejected</t>
  </si>
  <si>
    <t>A user with email 'john@acme.com' already exists</t>
  </si>
  <si>
    <t>Email: john@acme.com</t>
  </si>
  <si>
    <t>Validation error indicates a user with this email already exists; invitation is not sent</t>
  </si>
  <si>
    <t>Enter 'john@acme.com' as the Email Address</t>
  </si>
  <si>
    <t>TC_INVITEUSER_09</t>
  </si>
  <si>
    <t>Verify Platform Role selection is single-select</t>
  </si>
  <si>
    <t>Only the most recently clicked role card stays highlighted/selected; the previous selection is deselected</t>
  </si>
  <si>
    <t>Click 'Support Agent'</t>
  </si>
  <si>
    <t>Then click 'Account Manager'</t>
  </si>
  <si>
    <t>TC_INVITEUSER_10</t>
  </si>
  <si>
    <t>Verify selecting a Platform Role auto-populates a sensible default Permissions Matrix</t>
  </si>
  <si>
    <t>Permissions relevant to Account Manager (e.g. View Dashboard, Manage Customers, Connect Stores) are checked by default, while permissions like Manage Users, Configure Rules, API Access and View Billing remain unchecked; the matrix remains manually editable</t>
  </si>
  <si>
    <t>Select the 'Account Manager' role</t>
  </si>
  <si>
    <t>Observe the Permissions Matrix</t>
  </si>
  <si>
    <t>TC_INVITEUSER_11</t>
  </si>
  <si>
    <t>Verify Permissions Matrix checkboxes can be toggled independently of the selected role's defaults</t>
  </si>
  <si>
    <t>'Account Manager' role is selected with its default permissions applied</t>
  </si>
  <si>
    <t>Each checkbox toggles independently; the manual overrides are retained even though they differ from the role's default permission set</t>
  </si>
  <si>
    <t>Manually check 'API Access'</t>
  </si>
  <si>
    <t>Manually uncheck 'Manage Customers'</t>
  </si>
  <si>
    <t>TC_INVITEUSER_12</t>
  </si>
  <si>
    <t>Verify Assigned Customers supports multi-select</t>
  </si>
  <si>
    <t>Invite Team Member page is open with 'Account Manager' role selected</t>
  </si>
  <si>
    <t>Both TechFlow Solutions and Meridian Parts are selected and saved as the user's assigned customer accounts; unchecked customers remain unassigned</t>
  </si>
  <si>
    <t>Check 'TechFlow Solutions'</t>
  </si>
  <si>
    <t>Check 'Meridian Parts'</t>
  </si>
  <si>
    <t>Leave 'Global Fasteners' and 'Apex Supplies' unchecked</t>
  </si>
  <si>
    <t>TC_INVITEUSER_13</t>
  </si>
  <si>
    <t>Verify Assigned Customers is not required/is disabled for platform-wide roles</t>
  </si>
  <si>
    <t>Since Platform Admin has full system access, the Assigned Customers panel is disabled, hidden, or clearly marked as not applicable rather than requiring a manual selection</t>
  </si>
  <si>
    <t>Select the 'Platform Admin' role</t>
  </si>
  <si>
    <t>Observe the 'Assigned Customers' panel</t>
  </si>
  <si>
    <t>TC_INVITEUSER_14</t>
  </si>
  <si>
    <t>Verify a client-scoped role without any assigned customer shows a validation warning</t>
  </si>
  <si>
    <t>'Account Manager' role is selected</t>
  </si>
  <si>
    <t>A validation message indicates at least one customer must be assigned for a client-scoped role (e.g. Account Manager); invitation is not sent</t>
  </si>
  <si>
    <t>Leave all Assigned Customers unchecked</t>
  </si>
  <si>
    <t>TC_INVITEUSER_15</t>
  </si>
  <si>
    <t>Verify Notification Preferences toggles function independently</t>
  </si>
  <si>
    <t>Email Alerts is ON and Slack Integration is OFF by default</t>
  </si>
  <si>
    <t>Each toggle changes state independently without affecting the other; the saved user record reflects the final toggle states</t>
  </si>
  <si>
    <t>Toggle 'Slack Integration' on</t>
  </si>
  <si>
    <t>Toggle 'Email Alerts' off</t>
  </si>
  <si>
    <t>TC_INVITEUSER_16</t>
  </si>
  <si>
    <t>Verify 'Send Invitation' with valid data creates a Pending user</t>
  </si>
  <si>
    <t>All mandatory fields, a Platform Role, and (if applicable) Assigned Customers are filled in with valid data</t>
  </si>
  <si>
    <t>Invitation is sent; user is redirected to User Management; the new user appears in the table with Status = 'Pending' and the correct Name, Company/Role and Last Login = 'Never'</t>
  </si>
  <si>
    <t>Navigate to User Management</t>
  </si>
  <si>
    <t>Search for the newly invited user</t>
  </si>
  <si>
    <t>TC_INVITEUSER_17</t>
  </si>
  <si>
    <t>Verify the invited user receives an email invitation</t>
  </si>
  <si>
    <t>A valid invitation was just sent to 'sarah.lane@arizon.digital'</t>
  </si>
  <si>
    <t>An invitation email is received containing platform access instructions/link consistent with the assigned role and permissions</t>
  </si>
  <si>
    <t>Check the recipient's mailbox for an invitation email</t>
  </si>
  <si>
    <t>TC_INVITEUSER_18</t>
  </si>
  <si>
    <t>Draft is saved without enforcing full mandatory-field/role validation; draft is retrievable later for completion; no invitation email is sent</t>
  </si>
  <si>
    <t>Fill only Full Name and Email Address</t>
  </si>
  <si>
    <t>Leave Platform Role and other sections blank</t>
  </si>
  <si>
    <t>TC_INVITEUSER_19</t>
  </si>
  <si>
    <t>Several fields (User Details, Platform Role, Permissions, Assigned Customers) have been filled in</t>
  </si>
  <si>
    <t>User is returned to the User Management page; no new user or draft record is created; no invitation is sent</t>
  </si>
  <si>
    <t>TC_INVITEUSER_20</t>
  </si>
  <si>
    <t>Verify script/HTML injection in Full Name is sanitized</t>
  </si>
  <si>
    <t>Enter '&lt;script&gt;alert(1)&lt;/script&gt;' in the 'Full Name' field</t>
  </si>
  <si>
    <t>TC_INDRULES_01</t>
  </si>
  <si>
    <t>Verify Industry Rules Configuration page loads with default view</t>
  </si>
  <si>
    <t>Platform Admin navigates to the 'Industry Rules' tab</t>
  </si>
  <si>
    <t>Page loads with 'Industry Rules Configuration' heading, industry cards (Show Management, MRO Spare Parts, Fasteners) with rule counts, a 'Rule Templates' table scoped to the active industry, and a 'Rule Template Builder' panel on the right</t>
  </si>
  <si>
    <t>Observe the page header, industry cards, Rule Templates table, and Rule Template Builder panel</t>
  </si>
  <si>
    <t>TC_INDRULES_02</t>
  </si>
  <si>
    <t>Verify 'Show Management' is marked ACTIVE by default with an accurate rule count</t>
  </si>
  <si>
    <t>Industry Rules Configuration page is open</t>
  </si>
  <si>
    <t>Show Management card shows an 'ACTIVE' badge and is visually highlighted; '24 Standard Rules' matches the actual count of rules defined for that industry</t>
  </si>
  <si>
    <t>Observe the 'Show Management' industry card</t>
  </si>
  <si>
    <t>TC_INDRULES_03</t>
  </si>
  <si>
    <t>Verify selecting a different industry card switches the active industry</t>
  </si>
  <si>
    <t>Show Management is the active industry</t>
  </si>
  <si>
    <t>MRO Spare Parts becomes the ACTIVE/highlighted card; the Rule Templates table refreshes to show MRO Spare Parts rules; the Rule Template Builder's Industry field updates to 'MRO Spare Parts'</t>
  </si>
  <si>
    <t>Click the 'MRO Spare Parts' card</t>
  </si>
  <si>
    <t>TC_INDRULES_04</t>
  </si>
  <si>
    <t>Verify the Rule Templates table is scoped to the selected industry only</t>
  </si>
  <si>
    <t>'Fasteners' industry is selected (12 Standard Rules)</t>
  </si>
  <si>
    <t>Only rules belonging to the Fasteners industry are listed; no rules from Show Management or MRO Spare Parts appear</t>
  </si>
  <si>
    <t>Observe the Rule Templates table</t>
  </si>
  <si>
    <t>TC_INDRULES_05</t>
  </si>
  <si>
    <t>Verify Category badge color coding</t>
  </si>
  <si>
    <t>Rule Templates table contains Pricing, Validation, Approval and Workflow categories</t>
  </si>
  <si>
    <t>Each category displays a distinct, consistent badge color (e.g. Pricing = teal, Validation = orange, Approval = green, Workflow = purple) matching the category text exactly</t>
  </si>
  <si>
    <t>Observe the Category column across rows</t>
  </si>
  <si>
    <t>TC_INDRULES_06</t>
  </si>
  <si>
    <t>Verify Priority column displays accurate values</t>
  </si>
  <si>
    <t>Rule Templates table contains High, Medium and Low priority rules</t>
  </si>
  <si>
    <t>Priority values (High/Medium/Low) match the priority configured for each rule</t>
  </si>
  <si>
    <t>Observe the Priority column across rows</t>
  </si>
  <si>
    <t>TC_INDRULES_07</t>
  </si>
  <si>
    <t>Verify Status badge accurately reflects rule state</t>
  </si>
  <si>
    <t>Rule Templates table contains Published and Draft rules</t>
  </si>
  <si>
    <t>Published rules show a green 'Published' badge; Draft rules show a distinct 'Draft' badge; only Published rules are available for customers to use</t>
  </si>
  <si>
    <t>Observe the Status column (e.g. 'Event Package Pricing' = Published, 'Show Date Discount Tiers' = Draft)</t>
  </si>
  <si>
    <t>TC_INDRULES_08</t>
  </si>
  <si>
    <t>Verify the edit (pencil) icon opens a rule pre-filled with its existing values</t>
  </si>
  <si>
    <t>Rule Templates table is populated</t>
  </si>
  <si>
    <t>Rule Template Builder (or an edit view) opens with Rule Name, Industry, Category, Logic Definition, Default Priority and Description pre-filled to match the existing rule exactly</t>
  </si>
  <si>
    <t>Click the pencil/edit icon on the 'Exhibitor Eligibility Check' row</t>
  </si>
  <si>
    <t>TC_INDRULES_09</t>
  </si>
  <si>
    <t>Verify 'Import Rules' processes an uploaded rule set</t>
  </si>
  <si>
    <t>Rules from the file are added to the Rule Templates table for the active industry; a success summary (rules imported/skipped) is shown</t>
  </si>
  <si>
    <t>Click 'Import Rules'</t>
  </si>
  <si>
    <t>Upload a valid rule-template file</t>
  </si>
  <si>
    <t>TC_INDRULES_10</t>
  </si>
  <si>
    <t>Verify 'Create Rule Template' navigates to the dedicated creation page</t>
  </si>
  <si>
    <t>User is navigated to the 'Create Industry Rule Template' page with an empty form</t>
  </si>
  <si>
    <t>Click 'Create Rule Template'</t>
  </si>
  <si>
    <t>TC_INDRULES_11</t>
  </si>
  <si>
    <t>Verify Rule Name is a mandatory field in the Rule Template Builder</t>
  </si>
  <si>
    <t>Rule Template Builder panel is open with Rule Name blank</t>
  </si>
  <si>
    <t>'Rule Name is required' validation error is shown; template is not saved</t>
  </si>
  <si>
    <t>Fill Category, Logic Definition and Priority</t>
  </si>
  <si>
    <t>Leave 'Rule Name' blank</t>
  </si>
  <si>
    <t>Click 'Save as Template'</t>
  </si>
  <si>
    <t>TC_INDRULES_12</t>
  </si>
  <si>
    <t>Verify the builder's Industry field defaults to the currently selected industry card</t>
  </si>
  <si>
    <t>'MRO Spare Parts' industry card is active</t>
  </si>
  <si>
    <t>Industry field is pre-set to 'MRO Spare Parts', matching the active industry card</t>
  </si>
  <si>
    <t>Observe the 'Industry' field in the Rule Template Builder</t>
  </si>
  <si>
    <t>TC_INDRULES_13</t>
  </si>
  <si>
    <t>Verify the Category dropdown lists the correct predefined categories</t>
  </si>
  <si>
    <t>Rule Template Builder panel is open</t>
  </si>
  <si>
    <t>Dropdown lists valid categories (e.g. Pricing, Validation, Approval, Workflow) consistent with the categories shown in the Rule Templates table</t>
  </si>
  <si>
    <t>Click the 'Category' dropdown</t>
  </si>
  <si>
    <t>TC_INDRULES_14</t>
  </si>
  <si>
    <t>Verify '+ Add Condition' adds another IF condition row</t>
  </si>
  <si>
    <t>Rule Template Builder Logic Definition shows one IF/THEN row</t>
  </si>
  <si>
    <t>An additional [field][operator][value] condition row is added to the Logic Definition, combinable with the existing condition (e.g. via AND/OR)</t>
  </si>
  <si>
    <t>Click '+ Add Condition'</t>
  </si>
  <si>
    <t>TC_INDRULES_15</t>
  </si>
  <si>
    <t>Verify Default Priority selection is single-select</t>
  </si>
  <si>
    <t>Only the most recently clicked priority stays highlighted/selected; the previous selection is deselected</t>
  </si>
  <si>
    <t>Click 'Medium'</t>
  </si>
  <si>
    <t>Then click 'Low'</t>
  </si>
  <si>
    <t>TC_INDRULES_16</t>
  </si>
  <si>
    <t>Verify 'Allow Customer Override' toggle persists with the saved template</t>
  </si>
  <si>
    <t>The toggle's off state is saved and correctly reflected when the rule is reopened</t>
  </si>
  <si>
    <t>Turn 'Allow Customer Override' off</t>
  </si>
  <si>
    <t>Re-open the saved rule</t>
  </si>
  <si>
    <t>TC_INDRULES_17</t>
  </si>
  <si>
    <t>Verify 'Save as Template' with valid data creates the rule and it appears in the table</t>
  </si>
  <si>
    <t>All required builder fields are filled with valid data</t>
  </si>
  <si>
    <t>New rule is created and appears in the Rule Templates table for the active industry with the correct Name, Category, Priority and Status</t>
  </si>
  <si>
    <t>TC_INDRULES_18</t>
  </si>
  <si>
    <t>Verify 'Preview' shows a read-only preview of the rule logic before saving</t>
  </si>
  <si>
    <t>Rule Template Builder has a complete IF/THEN condition entered</t>
  </si>
  <si>
    <t>A read-only preview of the rule (e.g. plain-language IF/THEN summary) is shown without saving the rule</t>
  </si>
  <si>
    <t>Click 'Preview'</t>
  </si>
  <si>
    <t>TC_INDRULES_19</t>
  </si>
  <si>
    <t>Verify adoption statistics recalculate per selected industry</t>
  </si>
  <si>
    <t>'Show Management' industry is active</t>
  </si>
  <si>
    <t>Footer statistics are accurate for Show Management initially, and update to reflect Fasteners-specific adoption/usage data after switching industries</t>
  </si>
  <si>
    <t>Observe the footer stats ('14 of 20 Show Management customers using industry rules', '89% adoption rate', 'Most used: Event Package Pricing')</t>
  </si>
  <si>
    <t>Switch to 'Fasteners' industry</t>
  </si>
  <si>
    <t>Observe the footer stats again</t>
  </si>
  <si>
    <t>TC_INDRULES_20</t>
  </si>
  <si>
    <t>Verify an incomplete IF/THEN condition is blocked from saving</t>
  </si>
  <si>
    <t>A validation error indicates the logic condition is incomplete; the template is not saved</t>
  </si>
  <si>
    <t>Leave the [value] portion of the IF condition blank</t>
  </si>
  <si>
    <t>TC_INDRULES_21</t>
  </si>
  <si>
    <t>Verify script/HTML injection in Rule Name and Description is sanitized</t>
  </si>
  <si>
    <t>Enter '&lt;script&gt;alert(1)&lt;/script&gt;' in 'Rule Name' and 'Description'</t>
  </si>
  <si>
    <t>TC_CREATERULE_01</t>
  </si>
  <si>
    <t>Verify Create Industry Rule Template page loads with an empty form</t>
  </si>
  <si>
    <t>Admin clicks 'Create Rule Template' from Industry Rules Configuration</t>
  </si>
  <si>
    <t>Page shows 'Create Industry Rule Template' heading and subtitle, an empty AI Rule Template Builder chat box, empty Template Basics and Global Settings fields, an empty Rule Logic Builder, no Applicable Store Platforms checked, and Cancel/Save as Draft/Publish Template buttons</t>
  </si>
  <si>
    <t>TC_CREATERULE_02</t>
  </si>
  <si>
    <t>Verify AI Rule Template Builder auto-fills fields accurately from a natural-language description</t>
  </si>
  <si>
    <t>Create Industry Rule Template page is open</t>
  </si>
  <si>
    <t>'Create a validation rule for Fasteners industry that checks minimum order quantities based on product weight class.'</t>
  </si>
  <si>
    <t>AI response confirms the generated logic template (e.g. 'I've generated a logic template for Fasteners weight-class validation...') and the count of fields auto-filled (e.g. '12 fields auto-filled'); Template Name, Industry, Rule Category, Description, Default Priority, and the IF/THEN Rule Logic Builder blocks are populated to match the request</t>
  </si>
  <si>
    <t>Type a request describing the industry, validation rule and threshold logic into the AI chat box</t>
  </si>
  <si>
    <t>TC_CREATERULE_03</t>
  </si>
  <si>
    <t>AI has auto-filled the form (per TC_CREATERULE_02)</t>
  </si>
  <si>
    <t>All AI-populated fields (Template Basics, Global Settings, Rule Logic Builder blocks) are cleared/reset to their blank or default state</t>
  </si>
  <si>
    <t>TC_CREATERULE_04</t>
  </si>
  <si>
    <t>Manually change the 'Description' field</t>
  </si>
  <si>
    <t>TC_CREATERULE_05</t>
  </si>
  <si>
    <t>Verify mandatory field validation when Template Name is blank</t>
  </si>
  <si>
    <t>'Template Name is required' validation error is shown; template is not published</t>
  </si>
  <si>
    <t>Leave 'Template Name' blank</t>
  </si>
  <si>
    <t>Click 'Publish Template'</t>
  </si>
  <si>
    <t>TC_CREATERULE_06</t>
  </si>
  <si>
    <t>Verify mandatory field validation when Industry is blank</t>
  </si>
  <si>
    <t>'Industry is required' validation error is shown; template is not published</t>
  </si>
  <si>
    <t>Leave 'Industry' blank</t>
  </si>
  <si>
    <t>TC_CREATERULE_07</t>
  </si>
  <si>
    <t>Verify mandatory field validation when Rule Category is blank</t>
  </si>
  <si>
    <t>'Rule Category is required' validation error is shown; template is not published</t>
  </si>
  <si>
    <t>Leave 'Rule Category' blank</t>
  </si>
  <si>
    <t>TC_CREATERULE_08</t>
  </si>
  <si>
    <t>Verify Default Priority only accepts a valid priority value</t>
  </si>
  <si>
    <t>Default Priority: Urgent</t>
  </si>
  <si>
    <t>Only High, Medium or Low are accepted as valid Default Priority values; any other value is rejected or the field is restricted to a selector rather than free text</t>
  </si>
  <si>
    <t>Attempt to set 'Default Priority' to a value outside High/Medium/Low, e.g. by direct input if the field allows free text</t>
  </si>
  <si>
    <t>TC_CREATERULE_09</t>
  </si>
  <si>
    <t>Verify Version field enforces a valid version number format</t>
  </si>
  <si>
    <t>Version: abc</t>
  </si>
  <si>
    <t>Validation error indicates Version must follow a numeric format (e.g. '1.0'); template is not published</t>
  </si>
  <si>
    <t>Enter a non-numeric value in 'Version', e.g. 'abc'</t>
  </si>
  <si>
    <t>Attempt to publish</t>
  </si>
  <si>
    <t>TC_CREATERULE_10</t>
  </si>
  <si>
    <t>Verify 'Auto-apply to new customers' toggle can be switched on/off</t>
  </si>
  <si>
    <t>Toggle is ON by default</t>
  </si>
  <si>
    <t>Toggle switches state immediately; the off state is saved and correctly reflected when the template is reopened</t>
  </si>
  <si>
    <t>Click the toggle to turn it off</t>
  </si>
  <si>
    <t>Publish the template</t>
  </si>
  <si>
    <t>Re-open it</t>
  </si>
  <si>
    <t>TC_CREATERULE_11</t>
  </si>
  <si>
    <t>Verify '+ Add IF Block' adds an additional condition block to the Rule Logic Builder</t>
  </si>
  <si>
    <t>Rule Logic Builder shows one IF/THEN block</t>
  </si>
  <si>
    <t>A new IF/THEN block is added below the existing one, independently configurable with its own Attribute/Operator/Value and Action/Set Value To fields</t>
  </si>
  <si>
    <t>Click '+ Add IF Block'</t>
  </si>
  <si>
    <t>TC_CREATERULE_12</t>
  </si>
  <si>
    <t>Verify the IF block's Attribute/Operator/Value fields function correctly</t>
  </si>
  <si>
    <t>Rule Logic Builder is open</t>
  </si>
  <si>
    <t>Product Weight is Greater Than 5.00kg</t>
  </si>
  <si>
    <t>All three fields accept the selections/input and are saved together as a single valid IF condition</t>
  </si>
  <si>
    <t>Select Attribute = 'Product Weight'</t>
  </si>
  <si>
    <t>Select Operator = 'is Greater Than'</t>
  </si>
  <si>
    <t>Enter Value = '5.00kg'</t>
  </si>
  <si>
    <t>TC_CREATERULE_13</t>
  </si>
  <si>
    <t>Verify the THEN block's Action/Set Value To fields function correctly</t>
  </si>
  <si>
    <t>An IF condition has been defined</t>
  </si>
  <si>
    <t>Enforce MOQ, Set Value To: 50 Units</t>
  </si>
  <si>
    <t>Both fields accept the selection/input and are saved together as the resulting action for the IF condition</t>
  </si>
  <si>
    <t>Select Action = 'Enforce MOQ'</t>
  </si>
  <si>
    <t>Enter Set Value To = '50 Units'</t>
  </si>
  <si>
    <t>TC_CREATERULE_14</t>
  </si>
  <si>
    <t>Verify an incomplete IF/THEN block blocks Publish</t>
  </si>
  <si>
    <t>An IF block has Attribute and Operator set but Value left blank</t>
  </si>
  <si>
    <t>Validation error indicates the logic block is incomplete; the template is not published</t>
  </si>
  <si>
    <t>TC_CREATERULE_15</t>
  </si>
  <si>
    <t>Verify Applicable Store Platforms supports multi-select</t>
  </si>
  <si>
    <t>Both BigCommerce and Shopify are selected and saved as applicable platforms for the template; unchecked platforms remain excluded</t>
  </si>
  <si>
    <t>Check 'BigCommerce'</t>
  </si>
  <si>
    <t>Check 'Shopify'</t>
  </si>
  <si>
    <t>Leave 'Shopware' and 'Custom' unchecked</t>
  </si>
  <si>
    <t>TC_CREATERULE_16</t>
  </si>
  <si>
    <t>Verify Publish Template is blocked when zero Applicable Store Platforms are selected</t>
  </si>
  <si>
    <t>All required fields and logic are valid, but no platform checkbox is checked</t>
  </si>
  <si>
    <t>Validation error indicates at least one applicable store platform must be selected; template is not published</t>
  </si>
  <si>
    <t>TC_CREATERULE_17</t>
  </si>
  <si>
    <t>Only Template Name and Industry are filled in</t>
  </si>
  <si>
    <t>Draft is saved without enforcing full mandatory-field/logic validation; draft is retrievable later for completion and appears with Status = Draft in Industry Rules Configuration</t>
  </si>
  <si>
    <t>TC_CREATERULE_18</t>
  </si>
  <si>
    <t>Verify 'Publish Template' with valid data creates a Published rule visible in Industry Rules Configuration</t>
  </si>
  <si>
    <t>All required fields, a complete IF/THEN block, and at least one platform are set</t>
  </si>
  <si>
    <t>Template is published; user is redirected (or a success confirmation is shown); the new rule appears in the Rule Templates table with Status = Published and the correct Name, Category and Priority</t>
  </si>
  <si>
    <t>Navigate to Industry Rules Configuration for the same industry</t>
  </si>
  <si>
    <t>TC_CREATERULE_19</t>
  </si>
  <si>
    <t>Several fields (Template Basics, Rule Logic Builder, Platforms) have been filled in</t>
  </si>
  <si>
    <t>User is returned to Industry Rules Configuration; no new template or draft record is created</t>
  </si>
  <si>
    <t>TC_CREATERULE_20</t>
  </si>
  <si>
    <t>Verify script/HTML injection in Template Name and Description is sanitized</t>
  </si>
  <si>
    <t>Enter '&lt;script&gt;alert(1)&lt;/script&gt;' in 'Template Name' and 'Description'</t>
  </si>
  <si>
    <t>TC_CREATERULE_21</t>
  </si>
  <si>
    <t>Verify a duplicate Template Name within the same industry is rejected</t>
  </si>
  <si>
    <t>A template named 'MOQ Weight Validation' already exists for the Fasteners industry</t>
  </si>
  <si>
    <t>Template Name: MOQ Weight Validation, Industry: Fasteners</t>
  </si>
  <si>
    <t>Validation error indicates a template with this name already exists for the selected industry; template is not published</t>
  </si>
  <si>
    <t>Create a new template with the same Template Name and Industry</t>
  </si>
  <si>
    <t>TC_BILLING_01</t>
  </si>
  <si>
    <t>Verify Billing &amp; Subscriptions page loads with default view</t>
  </si>
  <si>
    <t>Platform Admin navigates to the 'Billing &amp; Subscriptions' tab</t>
  </si>
  <si>
    <t>Page loads with 'Billing &amp; Subscriptions' heading, four KPI cards (Total MRR, Annual Run Rate, Avg Revenue per Customer, Churn Rate), a Subscription Distribution panel, a Revenue by Industry bar chart, a Subscriber Details table, and an Upcoming Renewals banner</t>
  </si>
  <si>
    <t>Observe the KPI cards, Subscription Distribution, Revenue by Industry chart, Subscriber Details table, and Upcoming Renewals banner</t>
  </si>
  <si>
    <t>TC_BILLING_02</t>
  </si>
  <si>
    <t>Verify Annual Run Rate is internally consistent with Total MRR</t>
  </si>
  <si>
    <t>Total MRR = $89,400</t>
  </si>
  <si>
    <t>Annual Run Rate equals Total MRR multiplied by 12 ($89,400 x 12 = $1,072,800)</t>
  </si>
  <si>
    <t>Compare 'Annual Run Rate' ($1,072,800) to Total MRR x 12</t>
  </si>
  <si>
    <t>TC_BILLING_03</t>
  </si>
  <si>
    <t>Verify trend indicators show correct direction and color for each KPI</t>
  </si>
  <si>
    <t>Billing &amp; Subscriptions page is open</t>
  </si>
  <si>
    <t>Total MRR growth is shown in green with an upward indicator (growth is positive); Churn Rate's -0.4% change is shown in green as well, since a decreasing churn rate is a favorable trend, not treated as a generic 'negative number is red' case</t>
  </si>
  <si>
    <t>Observe the trend badge next to Total MRR (+18.2%) and Churn Rate (-0.4%)</t>
  </si>
  <si>
    <t>TC_BILLING_04</t>
  </si>
  <si>
    <t>Verify Subscription Distribution $/mo values reconcile with Total MRR</t>
  </si>
  <si>
    <t>Subscription Distribution shows Enterprise $50,400/mo, Professional $43,200/mo, Starter $7,200/mo</t>
  </si>
  <si>
    <t>The sum of Enterprise + Professional + Starter monthly revenue equals the Total MRR KPI card exactly; any discrepancy is flagged as a data integrity defect</t>
  </si>
  <si>
    <t>Sum the three plan $/mo values</t>
  </si>
  <si>
    <t>Compare the sum to the 'Total MRR' KPI card</t>
  </si>
  <si>
    <t>TC_BILLING_05</t>
  </si>
  <si>
    <t>Verify Subscription Distribution account counts reconcile with the Subscriber Details table</t>
  </si>
  <si>
    <t>Subscription Distribution shows Enterprise 12, Professional 24, Starter 12 accounts</t>
  </si>
  <si>
    <t>The account counts per plan in Subscription Distribution match the actual number of subscribers on each plan in the Subscriber Details table</t>
  </si>
  <si>
    <t>Count the subscribers per plan in the full (unpaginated) Subscriber Details table</t>
  </si>
  <si>
    <t>Compare totals</t>
  </si>
  <si>
    <t>TC_BILLING_06</t>
  </si>
  <si>
    <t>Verify Revenue by Industry chart accurately reflects each industry's revenue</t>
  </si>
  <si>
    <t>Bar heights are proportional to actual revenue per industry; the industry with the highest revenue (Show Mgmt) has the tallest bar</t>
  </si>
  <si>
    <t>Compare relative bar heights for Show Mgmt, MRO, Fasteners and Logistics against each industry's actual aggregated revenue</t>
  </si>
  <si>
    <t>TC_BILLING_07</t>
  </si>
  <si>
    <t>Verify Subscriber Details table displays accurate column data</t>
  </si>
  <si>
    <t>Subscriber Details table is populated</t>
  </si>
  <si>
    <t>All displayed values (Enterprise, $4,200, Annual, Paid, Oct 12, 2026) match Acme Industries' actual subscription record</t>
  </si>
  <si>
    <t>Observe Company, Plan, Monthly Fee, Cycle, Status and Next Invoice for a known subscriber, e.g. 'Acme Industries'</t>
  </si>
  <si>
    <t>TC_BILLING_08</t>
  </si>
  <si>
    <t>Subscriber Details table contains Paid, Pending and Overdue subscribers</t>
  </si>
  <si>
    <t>Paid = green badge, Pending = orange/amber badge, Overdue = red badge; badge text matches the underlying payment status</t>
  </si>
  <si>
    <t>Observe the Status column (e.g. Acme Industries = Paid, Swift Logistics = Pending, MRO Direct = Overdue)</t>
  </si>
  <si>
    <t>TC_BILLING_09</t>
  </si>
  <si>
    <t>Verify 'Filter' narrows the Subscriber Details table</t>
  </si>
  <si>
    <t>Status: Overdue</t>
  </si>
  <si>
    <t>Only overdue subscribers (e.g. MRO Direct) are displayed after applying the filter</t>
  </si>
  <si>
    <t>Click 'Filter'</t>
  </si>
  <si>
    <t>Filter by Status = 'Overdue'</t>
  </si>
  <si>
    <t>TC_BILLING_10</t>
  </si>
  <si>
    <t>Verify 'Export CSV' downloads subscriber data matching the current filter</t>
  </si>
  <si>
    <t>A filter is applied (e.g. Plan = Professional)</t>
  </si>
  <si>
    <t>A CSV file is downloaded containing only the currently filtered subscriber set with accurate column data</t>
  </si>
  <si>
    <t>Click 'Export CSV'</t>
  </si>
  <si>
    <t>TC_BILLING_11</t>
  </si>
  <si>
    <t>Verify the row ⋮ actions menu offers valid billing actions</t>
  </si>
  <si>
    <t>A menu opens with relevant actions (e.g. View Invoice History, Change Plan, Send Payment Reminder, Suspend Subscription)</t>
  </si>
  <si>
    <t>Click the ⋮ icon on the 'Fastener Hub' row</t>
  </si>
  <si>
    <t>TC_BILLING_12</t>
  </si>
  <si>
    <t>Verify clicking a subscriber row navigates to that customer's billing detail</t>
  </si>
  <si>
    <t>User navigates to TechBuild Studio's detailed billing/invoice history view</t>
  </si>
  <si>
    <t>Click on the 'TechBuild Studio' row</t>
  </si>
  <si>
    <t>TC_BILLING_13</t>
  </si>
  <si>
    <t>Verify the Upcoming Renewals banner accurately lists renewals due within 30 days</t>
  </si>
  <si>
    <t>Swift Logistics (Jan 28) and Acme Industries (Feb 12) have Next Invoice dates within 30 days</t>
  </si>
  <si>
    <t>Banner accurately states the number of renewals in the next 30 days and lists the correct companies and dates, matching the Next Invoice column in the Subscriber Details table</t>
  </si>
  <si>
    <t>Observe the 'Upcoming Renewals' banner text and count</t>
  </si>
  <si>
    <t>TC_BILLING_14</t>
  </si>
  <si>
    <t>Verify 'Generate Invoice' creates an invoice for an upcoming renewal</t>
  </si>
  <si>
    <t>Upcoming Renewals banner lists Swift Logistics as due Jan 28</t>
  </si>
  <si>
    <t>A new invoice is generated for Swift Logistics with the correct plan amount and due date; a success confirmation is shown</t>
  </si>
  <si>
    <t>Click 'Generate Invoice'</t>
  </si>
  <si>
    <t>Select Swift Logistics</t>
  </si>
  <si>
    <t>TC_BILLING_15</t>
  </si>
  <si>
    <t>Verify the renewals 'Export' button downloads the upcoming renewals list</t>
  </si>
  <si>
    <t>Upcoming Renewals banner is displayed</t>
  </si>
  <si>
    <t>A file is downloaded listing all renewals due in the next 30 days with company name and renewal date</t>
  </si>
  <si>
    <t>Click the renewals 'Export' button</t>
  </si>
  <si>
    <t>TC_BILLING_16</t>
  </si>
  <si>
    <t>Verify Cycle and Next Invoice date logic are consistent</t>
  </si>
  <si>
    <t>Subscriber Details table contains both Monthly and Annual cycle subscribers</t>
  </si>
  <si>
    <t>Monthly subscribers' Next Invoice falls roughly one billing month from the last invoice; Annual subscribers' Next Invoice falls roughly one year out, consistent with their Cycle value</t>
  </si>
  <si>
    <t>Compare a Monthly subscriber's Next Invoice date to today's date</t>
  </si>
  <si>
    <t>Compare an Annual subscriber's Next Invoice date to today's date</t>
  </si>
  <si>
    <t>TC_BILLING_17</t>
  </si>
  <si>
    <t>Verify 'Ask AI' opens the AI assistant for billing queries</t>
  </si>
  <si>
    <t>An AI assistant chat panel opens, allowing the admin to ask questions about revenue, churn, or subscribers</t>
  </si>
  <si>
    <t>TC_BILLING_18</t>
  </si>
  <si>
    <t>Verify the page handles a zero-subscriber state gracefully</t>
  </si>
  <si>
    <t>A fresh/test platform instance has no active subscribers</t>
  </si>
  <si>
    <t>KPI cards show $0/0%, Subscription Distribution and Revenue by Industry show an empty state, and the Subscriber Details table shows a 'No subscribers yet' message rather than errors or broken charts</t>
  </si>
  <si>
    <t>Load the Billing &amp; Subscriptions page</t>
  </si>
  <si>
    <t>TC_PRICEMGMT_01</t>
  </si>
  <si>
    <t>Verify Pricing Management page loads with default view</t>
  </si>
  <si>
    <t>Admin navigates to the 'Pricing' tab for a connected store (e.g. BigCommerce - MyStore)</t>
  </si>
  <si>
    <t>Page loads with 'Pricing Management' heading, summary cards (Active Price Rules, Price Overrides, AI Recommendations), a Pricing Rules table with Filter/Add Rule controls, an 'AI Intelligence' panel, and an 'AI Tip' banner at the bottom</t>
  </si>
  <si>
    <t>Observe the page header, summary cards, Pricing Rules table, AI Intelligence panel, and AI Tip banner</t>
  </si>
  <si>
    <t>TC_PRICEMGMT_02</t>
  </si>
  <si>
    <t>Verify summary cards display accurate counts</t>
  </si>
  <si>
    <t>Pricing Management page is open</t>
  </si>
  <si>
    <t>Each card's value matches the true count of active rules, manual price overrides, and pending AI recommendations respectively</t>
  </si>
  <si>
    <t>Compare 'Active Price Rules' (47), 'Price Overrides' (128) and 'AI Recommendations' (12, PENDING) against the actual underlying data</t>
  </si>
  <si>
    <t>TC_PRICEMGMT_03</t>
  </si>
  <si>
    <t>Verify Pricing Rules Type badge color coding</t>
  </si>
  <si>
    <t>Table contains Tiered, Promotional, Customer-Specific and Volume rule types</t>
  </si>
  <si>
    <t>Each rule type displays a distinct, consistent badge color matching the type text exactly (e.g. Tiered, Promotional, Customer-Specific, Volume each visually distinguishable)</t>
  </si>
  <si>
    <t>Observe the Type column across rows</t>
  </si>
  <si>
    <t>TC_PRICEMGMT_04</t>
  </si>
  <si>
    <t>Table contains Active and Inactive rules</t>
  </si>
  <si>
    <t>Active = green badge, Inactive = grey/muted badge; badge text matches the underlying rule state</t>
  </si>
  <si>
    <t>Observe the Status column (e.g. 'Wholesale Bronze Tier' = Active, 'Inventory Liquidation' = Inactive)</t>
  </si>
  <si>
    <t>TC_PRICEMGMT_05</t>
  </si>
  <si>
    <t>Verify 'Filter' narrows the Pricing Rules table</t>
  </si>
  <si>
    <t>Pricing Rules table is populated</t>
  </si>
  <si>
    <t>Type: Promotional</t>
  </si>
  <si>
    <t>Only Promotional rules (e.g. Seasonal Summer Promo, Inventory Liquidation) are displayed</t>
  </si>
  <si>
    <t>Filter by Type = 'Promotional'</t>
  </si>
  <si>
    <t>TC_PRICEMGMT_06</t>
  </si>
  <si>
    <t>Verify 'Add Rule' navigates to the Create New Price Rule page</t>
  </si>
  <si>
    <t>User is navigated to the 'Create New Price Rule' page with an empty form</t>
  </si>
  <si>
    <t>Click 'Add Rule'</t>
  </si>
  <si>
    <t>TC_PRICEMGMT_07</t>
  </si>
  <si>
    <t>Create/Edit Price Rule view opens with Rule Name, Rule Type, Conditions, Pricing Action, and Schedule &amp; Limits pre-filled to match the existing rule ($15.00 Off, Customer-Specific) exactly</t>
  </si>
  <si>
    <t>Click the pencil/edit icon on the 'VIP Customer Group' row</t>
  </si>
  <si>
    <t>TC_PRICEMGMT_08</t>
  </si>
  <si>
    <t>Verify the Discount column formats correctly for percentage vs. fixed-amount rules</t>
  </si>
  <si>
    <t>Table contains both percentage-based (10%, 25%, 15%, 40%) and fixed-amount ($15.00 Off) rules</t>
  </si>
  <si>
    <t>Percentage discounts display with a '%' suffix; fixed-amount discounts display with a '$' prefix and 'Off' suffix, matching each rule's configured Discount Type</t>
  </si>
  <si>
    <t>Observe the Discount column across rows</t>
  </si>
  <si>
    <t>TC_PRICEMGMT_09</t>
  </si>
  <si>
    <t>Verify the Products column reflects the actual number of matched products</t>
  </si>
  <si>
    <t>'Bulk Stationary Supplies' shows 1,200 products</t>
  </si>
  <si>
    <t>The Products count matches the true number of products the rule's conditions currently apply to</t>
  </si>
  <si>
    <t>Compare the Products count to the actual number of products matching that rule's conditions</t>
  </si>
  <si>
    <t>TC_PRICEMGMT_10</t>
  </si>
  <si>
    <t>Verify AI Intelligence panel cards show accurate, current data</t>
  </si>
  <si>
    <t>Each AI Intelligence card reflects the current, correct analysis based on live pricing and market data, not stale or placeholder values</t>
  </si>
  <si>
    <t>Observe the 'Underpriced Products' (8 detected), 'Margin Optimization' (+3.2% potential) and 'Competitive Analysis' (5 products below market) cards</t>
  </si>
  <si>
    <t>TC_PRICEMGMT_11</t>
  </si>
  <si>
    <t>Verify 'Apply AI Adjustments' applies the suggested pricing changes</t>
  </si>
  <si>
    <t>AI Intelligence panel shows pending recommendations</t>
  </si>
  <si>
    <t>Suggested price adjustments are applied to the relevant rules/products; the 'AI Recommendations' summary card count decreases accordingly; a success confirmation is shown</t>
  </si>
  <si>
    <t>Click 'Apply AI Adjustments'</t>
  </si>
  <si>
    <t>Confirm the action if prompted</t>
  </si>
  <si>
    <t>TC_PRICEMGMT_12</t>
  </si>
  <si>
    <t>Verify the AI Tip banner shows a relevant competitor-based insight</t>
  </si>
  <si>
    <t>Banner text reflects an accurate, current competitive insight and a plausible projected margin gain (e.g. '$1,240/mo'), sourced from actual competitive/market data</t>
  </si>
  <si>
    <t>Observe the AI Tip banner text (e.g. competitor price increase on 'Urban Explorer Backpack' variants)</t>
  </si>
  <si>
    <t>TC_PRICEMGMT_13</t>
  </si>
  <si>
    <t>Verify 'View Competitive Data' link navigates to supporting data</t>
  </si>
  <si>
    <t>AI Tip banner is displayed</t>
  </si>
  <si>
    <t>User is navigated to (or shown) the underlying competitive pricing data supporting the AI Tip</t>
  </si>
  <si>
    <t>Click 'View Competitive Data'</t>
  </si>
  <si>
    <t>TC_PRICEMGMT_14</t>
  </si>
  <si>
    <t>Verify the AI Tip banner's expand arrow reveals additional detail</t>
  </si>
  <si>
    <t>AI Tip banner is displayed collapsed</t>
  </si>
  <si>
    <t>Banner expands to show additional detail/recommended actions related to the tip</t>
  </si>
  <si>
    <t>Click the '&gt;' expand arrow</t>
  </si>
  <si>
    <t>TC_PRICEMGMT_15</t>
  </si>
  <si>
    <t>Verify the store switcher changes the displayed pricing rules</t>
  </si>
  <si>
    <t>Pricing Rules table, summary cards, and AI Intelligence panel refresh to reflect only the newly selected store's pricing data</t>
  </si>
  <si>
    <t>TC_PRICEMGMT_16</t>
  </si>
  <si>
    <t>Verify an Inactive rule does not apply its discount on the live storefront</t>
  </si>
  <si>
    <t>'Inventory Liquidation' rule is Inactive with a 40% discount configured</t>
  </si>
  <si>
    <t>The 40% discount is NOT applied to storefront pricing while the rule's Status is Inactive</t>
  </si>
  <si>
    <t>Check the storefront price of a product previously covered by 'Inventory Liquidation'</t>
  </si>
  <si>
    <t>TC_PRICEMGMT_17</t>
  </si>
  <si>
    <t>Verify 'Ask AI' opens the AI assistant for pricing queries</t>
  </si>
  <si>
    <t>An AI assistant chat panel opens, allowing the admin to ask questions about pricing rules and recommendations</t>
  </si>
  <si>
    <t>TC_PRICEMGMT_18</t>
  </si>
  <si>
    <t>Verify the page shows an appropriate empty state when a store has zero pricing rules</t>
  </si>
  <si>
    <t>A newly connected store has no pricing rules configured yet</t>
  </si>
  <si>
    <t>Summary cards show 0; Pricing Rules table shows an empty state prompting the admin to 'Add Rule'; AI Intelligence panel shows a 'not enough data yet' state rather than errors</t>
  </si>
  <si>
    <t>Navigate to Pricing Management for that store</t>
  </si>
  <si>
    <t>TC_ADDPRICERULE_01</t>
  </si>
  <si>
    <t>Verify Create New Price Rule page loads with an empty form</t>
  </si>
  <si>
    <t>Admin clicks 'Add Rule' from Pricing Management</t>
  </si>
  <si>
    <t>Page shows 'Create New Price Rule' heading, an empty AI Pricing Rule Builder chat box with quick-tag suggestions, empty Rule Details (no Rule Type pre-selected), an empty Conditions list, default Pricing Action, empty Schedule &amp; Limits, and Cancel/Save as Draft/Activate Rule buttons</t>
  </si>
  <si>
    <t>TC_ADDPRICERULE_02</t>
  </si>
  <si>
    <t>Verify the AI Pricing Rule Builder auto-fills fields accurately from a natural-language description</t>
  </si>
  <si>
    <t>Create New Price Rule page is open</t>
  </si>
  <si>
    <t>'Create a wholesale tiered pricing rule for our equipment category. Give 10% off for orders of 50+ units, 15% off for 100+, and 20% off for 250+. Apply it to all wholesale customer group members. Name it Wholesale Bronze Tier with priority 45.'</t>
  </si>
  <si>
    <t>AI responds 'Done! I have configured your pricing rule:' with a summary (Rule: Wholesale Bronze Tier, Type: Tiered Pricing, Conditions: Wholesale customers + Equipment category, Tiers: 50+ (10%), 100+ (15%), 250+ (20%)) and an AI Impact Analysis line (e.g. '+18% volume increase, net margin impact +$1,800/mo'); Rule Details, Conditions and Pricing Action sections populate to match</t>
  </si>
  <si>
    <t>Type a detailed tiered-discount request into the AI chat box</t>
  </si>
  <si>
    <t>TC_ADDPRICERULE_03</t>
  </si>
  <si>
    <t>Verify the quick-tag chips pre-fill a relevant prompt starter</t>
  </si>
  <si>
    <t>AI Pricing Rule Builder input is empty</t>
  </si>
  <si>
    <t>The description input is pre-filled with a relevant volume-discount prompt template that the admin can edit before submitting</t>
  </si>
  <si>
    <t>Click the 'Volume discount' quick-tag chip</t>
  </si>
  <si>
    <t>TC_ADDPRICERULE_04</t>
  </si>
  <si>
    <t>Verify 'Review &amp; Edit Fields Below' reflects the AI-extracted data in the form sections</t>
  </si>
  <si>
    <t>AI has configured the rule (per TC_ADDPRICERULE_02)</t>
  </si>
  <si>
    <t>Rule Details, Conditions, Pricing Action and Schedule &amp; Limits sections below are pre-filled with values matching the AI response exactly, and remain editable</t>
  </si>
  <si>
    <t>TC_ADDPRICERULE_05</t>
  </si>
  <si>
    <t>Verify 'Activate Rule' from the AI panel activates the rule directly</t>
  </si>
  <si>
    <t>AI has configured the rule</t>
  </si>
  <si>
    <t>Rule is created and activated using the AI-configured values without requiring manual review of every field; user is redirected to Pricing Management with the new rule visible and Active</t>
  </si>
  <si>
    <t>Click 'Activate Rule' directly under the AI response</t>
  </si>
  <si>
    <t>TC_ADDPRICERULE_06</t>
  </si>
  <si>
    <t>Verify 'Collapse' toggles the AI Pricing Rule Builder panel</t>
  </si>
  <si>
    <t>AI Pricing Rule Builder panel is expanded</t>
  </si>
  <si>
    <t>Panel collapses to a compact header on first click and re-expands to show the full chat/fields on the second click; chat history is preserved</t>
  </si>
  <si>
    <t>TC_ADDPRICERULE_07</t>
  </si>
  <si>
    <t>Verify Rule Name is a mandatory field</t>
  </si>
  <si>
    <t>'Rule Name is required' validation error is shown; rule is not activated</t>
  </si>
  <si>
    <t>Click 'Activate Rule'</t>
  </si>
  <si>
    <t>TC_ADDPRICERULE_08</t>
  </si>
  <si>
    <t>Verify Rule Type selection is single-select</t>
  </si>
  <si>
    <t>Only the most recently clicked Rule Type card stays highlighted/selected; the previous selection is deselected, and the form sections below adapt to the selected type</t>
  </si>
  <si>
    <t>Click 'Promotional'</t>
  </si>
  <si>
    <t>Then click 'Tiered Pricing'</t>
  </si>
  <si>
    <t>TC_ADDPRICERULE_09</t>
  </si>
  <si>
    <t>Verify the Priority field only accepts values within the 1-100 range</t>
  </si>
  <si>
    <t>Priority: 0, then 150</t>
  </si>
  <si>
    <t>Both out-of-range values are rejected with a validation error stating Priority must be between 1 and 100; rule is not activated</t>
  </si>
  <si>
    <t>Enter '0' in 'Priority (1-100)'</t>
  </si>
  <si>
    <t>Enter '150' in 'Priority (1-100)'</t>
  </si>
  <si>
    <t>TC_ADDPRICERULE_10</t>
  </si>
  <si>
    <t>Verify the Rule Preview panel updates live and calculates Final Price correctly</t>
  </si>
  <si>
    <t>Original Price = $124.50</t>
  </si>
  <si>
    <t>Discount: 10% off $124.50</t>
  </si>
  <si>
    <t>Rule Preview shows Discount (10%) = -$12.45 and Final Price = $112.05, updating live as the Discount Value changes</t>
  </si>
  <si>
    <t>Set Discount Type = 'Percentage Off'</t>
  </si>
  <si>
    <t>Set Discount Value = 10%</t>
  </si>
  <si>
    <t>Observe the Rule Preview panel</t>
  </si>
  <si>
    <t>TC_ADDPRICERULE_11</t>
  </si>
  <si>
    <t>Verify the Affected Products count updates when Conditions change</t>
  </si>
  <si>
    <t>Conditions currently match 124 products</t>
  </si>
  <si>
    <t>The 'X products matched' count recalculates immediately to reflect the updated Conditions, and the product thumbnail preview updates accordingly</t>
  </si>
  <si>
    <t>Change the 'Product Category' condition from 'Equipment' to a narrower category</t>
  </si>
  <si>
    <t>Observe the 'Affected Products' count</t>
  </si>
  <si>
    <t>TC_ADDPRICERULE_12</t>
  </si>
  <si>
    <t>Verify 'View All' opens the full list of affected products</t>
  </si>
  <si>
    <t>'124 products matched' is displayed with a thumbnail preview</t>
  </si>
  <si>
    <t>A full list/modal of all 124 matched products is displayed, matching the Conditions currently configured</t>
  </si>
  <si>
    <t>TC_ADDPRICERULE_13</t>
  </si>
  <si>
    <t>Verify '+ Add Condition' adds another IF/AND-IF row</t>
  </si>
  <si>
    <t>Conditions section shows 3 rows (Customer Group, Order Quantity, Product Category)</t>
  </si>
  <si>
    <t>A new AND-IF [field][operator][value] condition row is added below the existing conditions</t>
  </si>
  <si>
    <t>TC_ADDPRICERULE_14</t>
  </si>
  <si>
    <t>Verify the condition delete icon removes a condition row</t>
  </si>
  <si>
    <t>Conditions section has multiple rows</t>
  </si>
  <si>
    <t>That condition row is removed; the remaining conditions and Affected Products count update accordingly; the rule's logic no longer requires that condition</t>
  </si>
  <si>
    <t>Click the delete icon on the 'Order Quantity greater than 50 units' row</t>
  </si>
  <si>
    <t>TC_ADDPRICERULE_15</t>
  </si>
  <si>
    <t>Verify 'AI Suggest Conditions' proposes relevant additional conditions</t>
  </si>
  <si>
    <t>Conditions section is partially configured</t>
  </si>
  <si>
    <t>AI proposes additional relevant conditions (e.g. based on rule type and existing conditions) that the admin can accept or dismiss individually</t>
  </si>
  <si>
    <t>Click 'AI Suggest Conditions'</t>
  </si>
  <si>
    <t>TC_ADDPRICERULE_16</t>
  </si>
  <si>
    <t>Verify Discount Type is single-select and Discount Value input adapts accordingly</t>
  </si>
  <si>
    <t>Pricing Action section is visible</t>
  </si>
  <si>
    <t>Only one Discount Type is selected at a time; the Discount Value input switches format appropriately (e.g. '%' suffix for Percentage Off, '$' prefix for Fixed Amount Off / Fixed Price)</t>
  </si>
  <si>
    <t>Select 'Fixed Amount Off'</t>
  </si>
  <si>
    <t>Observe the Discount Value input</t>
  </si>
  <si>
    <t>Select 'Fixed Price'</t>
  </si>
  <si>
    <t>TC_ADDPRICERULE_17</t>
  </si>
  <si>
    <t>Verify a Discount Value greater than 100% is rejected for Percentage Off</t>
  </si>
  <si>
    <t>Discount Type = 'Percentage Off'</t>
  </si>
  <si>
    <t>Discount Value: 150%</t>
  </si>
  <si>
    <t>Validation error indicates the percentage discount cannot exceed 100%; rule is not activated</t>
  </si>
  <si>
    <t>Enter '150' as the Discount Value</t>
  </si>
  <si>
    <t>TC_ADDPRICERULE_18</t>
  </si>
  <si>
    <t>Verify 'Round to nearest' correctly rounds the calculated Final Price</t>
  </si>
  <si>
    <t>Original Price = $124.50, Discount = 10%</t>
  </si>
  <si>
    <t>Final Price is rounded to the nearest configured value (e.g. ending in .99) rather than showing the raw calculated figure, when this option is applied</t>
  </si>
  <si>
    <t>Select 'Round to nearest' = '$0.99'</t>
  </si>
  <si>
    <t>Observe the Rule Preview 'Final Price'</t>
  </si>
  <si>
    <t>TC_ADDPRICERULE_19</t>
  </si>
  <si>
    <t>Verify the Quantity Range Price Adjustment table reflects the configured tiers</t>
  </si>
  <si>
    <t>Tiered Pricing rule type is selected with tiers 50+/100+/250+</t>
  </si>
  <si>
    <t>Table shows Qty 1-49 = Standard Price, Qty 50-99 = 10% off, Qty 100-249 = 15% off, Qty 250+ = 20% off, matching the tiers configured/AI-generated</t>
  </si>
  <si>
    <t>Observe the Quantity Range Price Adjustment table</t>
  </si>
  <si>
    <t>TC_ADDPRICERULE_20</t>
  </si>
  <si>
    <t>Verify Schedule &amp; Limits rejects an End Date earlier than the Start Date</t>
  </si>
  <si>
    <t>Start Date = Oct 12, 2026</t>
  </si>
  <si>
    <t>Start Date: Oct 12, 2026, End Date: Sep 1, 2026</t>
  </si>
  <si>
    <t>Validation error indicates End Date must be on or after Start Date (or 'Never'); rule is not activated</t>
  </si>
  <si>
    <t>Set 'End Date' to a date before Oct 12, 2026</t>
  </si>
  <si>
    <t>TC_ADDPRICERULE_21</t>
  </si>
  <si>
    <t>Verify Max Uses and Per Customer Limit accept 'Unlimited' or a valid positive integer</t>
  </si>
  <si>
    <t>Schedule &amp; Limits section is visible</t>
  </si>
  <si>
    <t>Max Uses (Total): -5</t>
  </si>
  <si>
    <t>Validation error indicates Max Uses must be 'Unlimited' or a positive whole number; rule is not activated</t>
  </si>
  <si>
    <t>Enter '-5' in 'Max Uses (Total)'</t>
  </si>
  <si>
    <t>TC_ADDPRICERULE_22</t>
  </si>
  <si>
    <t>Verify 'Combinable with other rules' toggle persists</t>
  </si>
  <si>
    <t>The off state is saved and correctly reflected when the rule is reopened; when off, this rule cannot be stacked with other discounts at checkout</t>
  </si>
  <si>
    <t>Toggle it off</t>
  </si>
  <si>
    <t>Activate the rule</t>
  </si>
  <si>
    <t>Re-open the rule</t>
  </si>
  <si>
    <t>TC_ADDPRICERULE_23</t>
  </si>
  <si>
    <t>Verify the AI Impact Analysis panel is consistent with the AI chat's stated impact</t>
  </si>
  <si>
    <t>AI chat stated 'Estimated +18% volume increase, net margin impact +$1,800/mo'</t>
  </si>
  <si>
    <t>Est. Volume Increase (+18%) and Est. Margin Impact (+$1,800/mo) in the panel match the figures stated in the AI chat response exactly</t>
  </si>
  <si>
    <t>Observe the 'AI Impact Analysis' panel (Est. Revenue Impact, Est. Volume Increase, Est. Margin Impact) and its projected margin growth chart</t>
  </si>
  <si>
    <t>TC_ADDPRICERULE_24</t>
  </si>
  <si>
    <t>Verify the Similar Rules panel flags potential conflicts accurately</t>
  </si>
  <si>
    <t>'Wholesale Silver Tier' (5% off) and 'Seasonal Summer Promo' (25% off) are existing overlapping rules</t>
  </si>
  <si>
    <t>Rules with overlapping conditions/products are flagged with a warning icon; clicking a similar rule opens it (e.g. in a new view) for side-by-side comparison</t>
  </si>
  <si>
    <t>Observe the 'Similar Rules' panel for warning icons</t>
  </si>
  <si>
    <t>Click 'Wholesale Silver Tier'</t>
  </si>
  <si>
    <t>TC_ADDPRICERULE_25</t>
  </si>
  <si>
    <t>Only Rule Name and Rule Type are filled in</t>
  </si>
  <si>
    <t>Draft is saved without enforcing full mandatory-field/condition validation; draft is retrievable later for completion and appears in Pricing Management with Status = Draft/Inactive</t>
  </si>
  <si>
    <t>TC_ADDPRICERULE_26</t>
  </si>
  <si>
    <t>Verify 'Activate Rule' with valid data creates the rule and it appears in Pricing Management</t>
  </si>
  <si>
    <t>All required fields, at least one condition, and valid Pricing Action data are set</t>
  </si>
  <si>
    <t>Rule is created and activated; user is redirected to Pricing Management; the new rule appears in the Pricing Rules table with Status = Active and the correct Name, Type, Products and Discount</t>
  </si>
  <si>
    <t>Navigate to Pricing Management</t>
  </si>
  <si>
    <t>TC_ADDPRICERULE_27</t>
  </si>
  <si>
    <t>Several sections (Rule Details, Conditions, Pricing Action, Schedule) have been filled in</t>
  </si>
  <si>
    <t>User is returned to Pricing Management; no new rule or draft record is created</t>
  </si>
  <si>
    <t>TC_ADDPRICERULE_28</t>
  </si>
  <si>
    <t>TC_CARTCONFIG_01</t>
  </si>
  <si>
    <t>Verify Cart &amp; Checkout Configuration page loads with default view</t>
  </si>
  <si>
    <t>Admin navigates to the 'Cart &amp; Orders' tab for a connected store</t>
  </si>
  <si>
    <t>Page loads with 'Cart &amp; Checkout Configuration' heading, a 'Connected Platform: BigCommerce' indicator, a Checkout Flow Builder panel (ACTIVE FLOW), a Cart Settings panel, and a Recent Orders table</t>
  </si>
  <si>
    <t>Observe the page header, Connected Platform indicator, Checkout Flow Builder, Cart Settings, and Recent Orders</t>
  </si>
  <si>
    <t>TC_CARTCONFIG_02</t>
  </si>
  <si>
    <t>Verify the Connected Platform indicator reflects the actual connected store platform</t>
  </si>
  <si>
    <t>The active store is connected via BigCommerce</t>
  </si>
  <si>
    <t>Indicator correctly displays 'BigCommerce'; switching to a Shopify-connected store updates it to 'Shopify'</t>
  </si>
  <si>
    <t>Observe the 'Connected Platform' indicator</t>
  </si>
  <si>
    <t>TC_CARTCONFIG_03</t>
  </si>
  <si>
    <t>Verify the Checkout Flow Builder diagram highlights the correct active steps</t>
  </si>
  <si>
    <t>Guest Checkout and Multi-step Checkout are ON, Express Checkout is OFF</t>
  </si>
  <si>
    <t>Cart, Shipping and Payment steps are shown as active/highlighted (teal); Review and Confirmation are shown as inactive/greyed, consistent with the configured flow and 'ACTIVE FLOW' badge</t>
  </si>
  <si>
    <t>Observe the flow diagram (Cart, Shipping, Payment, Review, Confirmation)</t>
  </si>
  <si>
    <t>TC_CARTCONFIG_04</t>
  </si>
  <si>
    <t>Verify Guest Checkout toggle functions and persists</t>
  </si>
  <si>
    <t>Guest Checkout is ON</t>
  </si>
  <si>
    <t>Toggle switches state immediately; the off state persists after reload; storefront checkout no longer allows guest orders</t>
  </si>
  <si>
    <t>Toggle 'Guest Checkout' off</t>
  </si>
  <si>
    <t>TC_CARTCONFIG_05</t>
  </si>
  <si>
    <t>Verify Multi-step Checkout toggle functions and persists</t>
  </si>
  <si>
    <t>Multi-step Checkout is ON</t>
  </si>
  <si>
    <t>Toggle switches state immediately; the off state persists; storefront checkout switches to a single-page checkout experience</t>
  </si>
  <si>
    <t>Toggle 'Multi-step Checkout' off</t>
  </si>
  <si>
    <t>TC_CARTCONFIG_06</t>
  </si>
  <si>
    <t>Verify Express Checkout toggle functions and updates the flow diagram</t>
  </si>
  <si>
    <t>Express Checkout is OFF</t>
  </si>
  <si>
    <t>Toggle switches on; the flow diagram updates to reflect the streamlined express path (e.g. combined/skipped steps) consistent with express checkout behavior</t>
  </si>
  <si>
    <t>Toggle 'Express Checkout' on</t>
  </si>
  <si>
    <t>Observe the Checkout Flow Builder diagram</t>
  </si>
  <si>
    <t>TC_CARTCONFIG_07</t>
  </si>
  <si>
    <t>Verify 'Customize with AI' opens the AI Customization panel</t>
  </si>
  <si>
    <t>Cart &amp; Checkout Configuration page is open</t>
  </si>
  <si>
    <t>The 'AI Customization' panel opens showing 'How would you like to customize checkout?' with suggestion chips and an 'Ask AI anything...' input</t>
  </si>
  <si>
    <t>Click 'Customize with AI'</t>
  </si>
  <si>
    <t>TC_CARTCONFIG_08</t>
  </si>
  <si>
    <t>Verify each Cart Settings toggle functions independently and persists</t>
  </si>
  <si>
    <t>Cart Settings panel is visible</t>
  </si>
  <si>
    <t>Each toggle (Persistent Cart, Cross-sell Suggestions, Minimum Order Value, Cart Expiry, Inventory Validation, Automatic Discount Application) changes independently of the others, and the new states persist after reload</t>
  </si>
  <si>
    <t>Toggle 'Cross-sell Suggestions' on</t>
  </si>
  <si>
    <t>Toggle 'Automatic Discount Application' on</t>
  </si>
  <si>
    <t>TC_CARTCONFIG_09</t>
  </si>
  <si>
    <t>Verify Minimum Order Value ($50.00) blocks checkout below the threshold</t>
  </si>
  <si>
    <t>'Minimum Order Value' is ON with a value of $50.00</t>
  </si>
  <si>
    <t>Cart total: $35.00</t>
  </si>
  <si>
    <t>Checkout is blocked with a message indicating the minimum order value has not been met; the customer cannot complete the order until the cart total reaches $50.00</t>
  </si>
  <si>
    <t>Attempt to checkout on the storefront with a cart total below $50.00</t>
  </si>
  <si>
    <t>TC_CARTCONFIG_10</t>
  </si>
  <si>
    <t>Verify Cart Expiry (24 hours) clears an abandoned cart after the configured duration</t>
  </si>
  <si>
    <t>'Cart Expiry' is ON, set to 24 hours; a cart was created 25+ hours ago and not checked out</t>
  </si>
  <si>
    <t>The expired cart's contents are cleared/reset once the 24-hour window has elapsed, consistent with the configured Cart Expiry setting</t>
  </si>
  <si>
    <t>Return to the storefront after the expiry window has passed</t>
  </si>
  <si>
    <t>Observe the cart contents</t>
  </si>
  <si>
    <t>TC_CARTCONFIG_11</t>
  </si>
  <si>
    <t>Verify the AI tip banner shows an accurate, relevant recommendation</t>
  </si>
  <si>
    <t>Tip text is based on the store's actual current Persistent Cart setting and cart-recovery data, and updates/disappears once the suggested change is applied</t>
  </si>
  <si>
    <t>Observe the AI tip ('AI suggests that increasing persistent cart time to 48h may increase recovery rates by 12%')</t>
  </si>
  <si>
    <t>TC_CARTCONFIG_12</t>
  </si>
  <si>
    <t>Verify Recent Orders table displays accurate order data</t>
  </si>
  <si>
    <t>Recent Orders table is populated</t>
  </si>
  <si>
    <t>Displayed values (Sophia Miller, 3 items) match the actual order record for #CH-9210</t>
  </si>
  <si>
    <t>Observe Order ID, Customer, and Items for '#CH-9210'</t>
  </si>
  <si>
    <t>TC_CARTCONFIG_13</t>
  </si>
  <si>
    <t>Verify clicking a Recent Order row navigates to that order's detail view</t>
  </si>
  <si>
    <t>User navigates to the detailed view of order #CH-9208 (Isabella Garcia, 5 items)</t>
  </si>
  <si>
    <t>Click on the '#CH-9208' row</t>
  </si>
  <si>
    <t>TC_CARTCONFIG_14</t>
  </si>
  <si>
    <t>Verify AI Customization suggestion chips apply the respective checkout customization</t>
  </si>
  <si>
    <t>AI Customization panel is open</t>
  </si>
  <si>
    <t>A coupon/promo code field is added to the checkout flow configuration; the change is reflected in the Checkout Flow Builder or a confirmation is shown</t>
  </si>
  <si>
    <t>Click '+ Add coupon field'</t>
  </si>
  <si>
    <t>TC_CARTCONFIG_15</t>
  </si>
  <si>
    <t>Verify the 'Ask AI anything...' input returns a relevant response</t>
  </si>
  <si>
    <t>'How do I reduce cart abandonment?'</t>
  </si>
  <si>
    <t>AI responds with a relevant, actionable answer related to cart/checkout configuration</t>
  </si>
  <si>
    <t>Type a free-text checkout question, e.g. 'How do I reduce cart abandonment?'</t>
  </si>
  <si>
    <t>TC_CARTCONFIG_16</t>
  </si>
  <si>
    <t>Verify the AI Customization panel 'X' closes the panel</t>
  </si>
  <si>
    <t>Panel closes; any unsent chat text is discarded without affecting saved Cart/Checkout settings</t>
  </si>
  <si>
    <t>Click the 'X' close icon</t>
  </si>
  <si>
    <t>TC_PAYGATEWAY_01</t>
  </si>
  <si>
    <t>Verify Payment Gateway Management page loads with default view</t>
  </si>
  <si>
    <t>Admin navigates to the 'Payments' tab</t>
  </si>
  <si>
    <t>Page loads with 'Payment Gateway Management' heading, summary cards (Active Gateways, Total Transactions, Revenue Processed), Connected Gateways cards (Stripe, PayPal), an Add Payment Gateway section (Square, Authorize.net, Braintree), an AI Recommendation banner, and a Transaction Log table</t>
  </si>
  <si>
    <t>Observe the summary cards, Connected Gateways, Add Payment Gateway, AI Recommendation, and Transaction Log</t>
  </si>
  <si>
    <t>TC_PAYGATEWAY_02</t>
  </si>
  <si>
    <t>Verify Total Transactions equals the sum of each connected gateway's transaction count</t>
  </si>
  <si>
    <t>Stripe shows 2,842 transactions and PayPal shows 1,389 transactions</t>
  </si>
  <si>
    <t>Sum of individual gateway transaction counts equals the Total Transactions summary card exactly</t>
  </si>
  <si>
    <t>Sum Stripe + PayPal transaction counts</t>
  </si>
  <si>
    <t>Compare to the 'Total Transactions' summary card (4,231)</t>
  </si>
  <si>
    <t>TC_PAYGATEWAY_03</t>
  </si>
  <si>
    <t>Verify Connected Gateway cards show accurate Status and Last Transaction time</t>
  </si>
  <si>
    <t>Stripe and PayPal are both Active</t>
  </si>
  <si>
    <t>Both gateways show a green 'Active' status; 'Last Transaction' relative time (e.g. '2 min ago', '15 min ago') accurately reflects each gateway's most recent transaction timestamp</t>
  </si>
  <si>
    <t>Observe the Status badge and 'Last Transaction' relative time on each gateway card</t>
  </si>
  <si>
    <t>TC_PAYGATEWAY_04</t>
  </si>
  <si>
    <t>Verify 'Configure' opens gateway-specific configuration settings</t>
  </si>
  <si>
    <t>Connected Gateways section is visible</t>
  </si>
  <si>
    <t>Stripe-specific configuration settings (e.g. API keys, webhook settings, supported payment methods) open for editing</t>
  </si>
  <si>
    <t>Click 'Configure' on the Stripe card</t>
  </si>
  <si>
    <t>TC_PAYGATEWAY_05</t>
  </si>
  <si>
    <t>Verify 'Disconnect' prompts a confirmation before disconnecting a gateway</t>
  </si>
  <si>
    <t>PayPal is Active</t>
  </si>
  <si>
    <t>A confirmation dialog appears warning that disconnecting will stop processing payments through PayPal; the gateway is not disconnected until confirmed</t>
  </si>
  <si>
    <t>Click 'Disconnect' on the PayPal card</t>
  </si>
  <si>
    <t>TC_PAYGATEWAY_06</t>
  </si>
  <si>
    <t>Verify disconnecting a gateway updates the Active Gateways count and gateway list</t>
  </si>
  <si>
    <t>2 gateways (Stripe, PayPal) are Active</t>
  </si>
  <si>
    <t>'Active Gateways' count decreases to 1; PayPal moves from 'Connected Gateways' to the 'Add Payment Gateway' section with a 'Connect' option</t>
  </si>
  <si>
    <t>Confirm disconnecting PayPal</t>
  </si>
  <si>
    <t>Observe the 'Active Gateways' summary card and the Add Payment Gateway section</t>
  </si>
  <si>
    <t>TC_PAYGATEWAY_07</t>
  </si>
  <si>
    <t>Verify 'Connect' initiates the connection flow for an available gateway</t>
  </si>
  <si>
    <t>'Square' is listed under Add Payment Gateway</t>
  </si>
  <si>
    <t>Square's connection flow starts (e.g. OAuth redirect or API-credential entry form) allowing the admin to link the gateway</t>
  </si>
  <si>
    <t>Click 'Connect' on the Square card</t>
  </si>
  <si>
    <t>TC_PAYGATEWAY_08</t>
  </si>
  <si>
    <t>Verify connecting a gateway with invalid credentials fails gracefully</t>
  </si>
  <si>
    <t>Square connection flow is open</t>
  </si>
  <si>
    <t>Connection fails with a clear error message; Square is not marked Active and does not appear in Connected Gateways</t>
  </si>
  <si>
    <t>Enter invalid API credentials</t>
  </si>
  <si>
    <t>Attempt to complete the connection</t>
  </si>
  <si>
    <t>TC_PAYGATEWAY_09</t>
  </si>
  <si>
    <t>Verify the AI Recommendation banner shows an accurate, data-driven insight</t>
  </si>
  <si>
    <t>Payment Gateway Management page is open</t>
  </si>
  <si>
    <t>Banner text accurately reflects the current failed-transaction-rate comparison between Stripe and PayPal (e.g. '15% lower failed transaction rates') based on real Transaction Log data</t>
  </si>
  <si>
    <t>Observe the AI Recommendation banner comparing Stripe and PayPal failed-transaction rates</t>
  </si>
  <si>
    <t>TC_PAYGATEWAY_10</t>
  </si>
  <si>
    <t>Verify 'Configure Smart Routing' opens smart routing configuration</t>
  </si>
  <si>
    <t>AI Recommendation banner is displayed</t>
  </si>
  <si>
    <t>Smart routing configuration opens, allowing the admin to set rules such as defaulting to Stripe for high-value orders</t>
  </si>
  <si>
    <t>Click 'Configure Smart Routing'</t>
  </si>
  <si>
    <t>TC_PAYGATEWAY_11</t>
  </si>
  <si>
    <t>Verify Transaction Log displays accurate transaction data</t>
  </si>
  <si>
    <t>Transaction Log table is populated</t>
  </si>
  <si>
    <t>Displayed values (Stripe, $240.00, Completed, Julianne Moore, Oct 24) match the actual transaction record for TX-4892</t>
  </si>
  <si>
    <t>Observe Transaction ID, Gateway, Amount, Status, Customer and Date for 'TX-4892'</t>
  </si>
  <si>
    <t>TC_PAYGATEWAY_12</t>
  </si>
  <si>
    <t>Verify Transaction Status badge color coding</t>
  </si>
  <si>
    <t>Transaction Log contains Completed, Pending and Failed transactions</t>
  </si>
  <si>
    <t>Completed = green badge, Pending = orange/amber badge, Failed = red badge; badge text matches the underlying transaction status</t>
  </si>
  <si>
    <t>Observe the Status column (e.g. TX-4892 = Completed, TX-4890 = Pending, TX-4889 = Failed)</t>
  </si>
  <si>
    <t>TC_PAYGATEWAY_13</t>
  </si>
  <si>
    <t>Verify 'Download Report' exports the Transaction Log</t>
  </si>
  <si>
    <t>A file (CSV/Excel) is downloaded containing all listed transactions with accurate column data</t>
  </si>
  <si>
    <t>Click 'Download Report'</t>
  </si>
  <si>
    <t>TC_PAYGATEWAY_14</t>
  </si>
  <si>
    <t>Verify 'Ask AI Insights' opens the AI assistant for payment-related queries</t>
  </si>
  <si>
    <t>An AI assistant chat panel opens, allowing the admin to ask questions about payment performance and gateways</t>
  </si>
  <si>
    <t>Click '+ Ask AI Insights'</t>
  </si>
  <si>
    <t>TC_PAYGATEWAY_15</t>
  </si>
  <si>
    <t>Verify a Failed transaction does not count toward Revenue Processed</t>
  </si>
  <si>
    <t>TX-4889 (PayPal, $45.00) has Status = Failed</t>
  </si>
  <si>
    <t>Revenue Processed excludes the $45.00 Failed transaction amount; only Completed (and, per business rule, potentially Pending) transactions contribute to the total</t>
  </si>
  <si>
    <t>Compare the 'Revenue Processed' summary card total against the sum of only Completed transaction amounts</t>
  </si>
  <si>
    <t>TC_PAYGATEWAY_16</t>
  </si>
  <si>
    <t>Verify disconnecting the only remaining active gateway is blocked or strongly warned</t>
  </si>
  <si>
    <t>Only 1 gateway (e.g. Stripe) remains Active after PayPal was disconnected</t>
  </si>
  <si>
    <t>Admin is blocked or given a strong warning that disconnecting the last active gateway will leave the store unable to process payments, requiring explicit confirmation or an alternate gateway to be connected first</t>
  </si>
  <si>
    <t>Attempt to click 'Disconnect' on the remaining Stripe card</t>
  </si>
  <si>
    <t>TC_MERCH_01</t>
  </si>
  <si>
    <t>Verify Merchandising &amp; Discovery page loads with default view</t>
  </si>
  <si>
    <t>Admin navigates to the 'Merchandising' tab</t>
  </si>
  <si>
    <t>Page loads with 'Merchandising &amp; Discovery' heading, summary cards (Active Campaigns, Search Queries Today, Recommendation CTR), a Product Recommendations panel, a Search &amp; Discovery panel, and a Merchandising Zones panel</t>
  </si>
  <si>
    <t>Observe the summary cards, Product Recommendations, Search &amp; Discovery, and Merchandising Zones panels</t>
  </si>
  <si>
    <t>TC_MERCH_02</t>
  </si>
  <si>
    <t>Verify summary cards display accurate values and trend indicators</t>
  </si>
  <si>
    <t>Merchandising &amp; Discovery page is open</t>
  </si>
  <si>
    <t>Each card's value and trend percentage accurately reflects current data; positive trends are shown in green with an upward indicator</t>
  </si>
  <si>
    <t>Compare 'Active Campaigns' (8), 'Search Queries Today' (2,341, +12.5%) and 'Recommendation CTR' (12.4%, +2.1%) against actual underlying data</t>
  </si>
  <si>
    <t>TC_MERCH_03</t>
  </si>
  <si>
    <t>Verify each Product Recommendation toggle functions independently and persists</t>
  </si>
  <si>
    <t>Cross-sell, Up-sell, Related and Frequently Bought Together are all ON</t>
  </si>
  <si>
    <t>Toggle switches state immediately; the off state persists after reload without affecting the other three recommendation rules</t>
  </si>
  <si>
    <t>Toggle 'Up-sell: Premium versions' off</t>
  </si>
  <si>
    <t>TC_MERCH_04</t>
  </si>
  <si>
    <t>Verify the 'Edit' icon opens a recommendation rule's configuration</t>
  </si>
  <si>
    <t>Product Recommendations panel is visible</t>
  </si>
  <si>
    <t>Configuration view opens for the 'Related: Same category' rule, allowing the admin to adjust its targeting/scope</t>
  </si>
  <si>
    <t>Click 'Edit' next to 'Related: Same category'</t>
  </si>
  <si>
    <t>TC_MERCH_05</t>
  </si>
  <si>
    <t>Verify 'Manage All' navigates to the full recommendations management view</t>
  </si>
  <si>
    <t>User is navigated to a comprehensive view listing all recommendation rules, including any not shown in the summary panel</t>
  </si>
  <si>
    <t>Click 'Manage All'</t>
  </si>
  <si>
    <t>TC_MERCH_06</t>
  </si>
  <si>
    <t>Verify the AI Suggestion box shows a relevant, actionable recommendation</t>
  </si>
  <si>
    <t>Suggestion is based on real search/purchase behavior data and includes an actionable next step (e.g. an 'Enable' action) relevant to the store's catalog</t>
  </si>
  <si>
    <t>Observe the AI Suggestion box ('Users searching for "Smart Watches" often buy extra bands. Enable Cross-sell rules for the Electronics category.')</t>
  </si>
  <si>
    <t>TC_MERCH_07</t>
  </si>
  <si>
    <t>Verify Top Search Terms displays accurate percentages sorted in descending order</t>
  </si>
  <si>
    <t>Search &amp; Discovery panel is visible</t>
  </si>
  <si>
    <t>Terms are listed in descending order of search volume/relevance percentage, and each percentage accurately reflects actual search data</t>
  </si>
  <si>
    <t>Observe the Top Search Terms list (Summer Dress 85%, Leather Boots 65%, Tote Bag 45%, Linen Shirt 38%, Denim Jacket 30%)</t>
  </si>
  <si>
    <t>TC_MERCH_08</t>
  </si>
  <si>
    <t>Verify Zero Result Searches lists accurate terms and instance counts</t>
  </si>
  <si>
    <t>List accurately reflects search terms that returned zero results this week, with correct instance counts, labeled 'AI Review Recommended'</t>
  </si>
  <si>
    <t>Observe the 'Zero Result Searches' list ('wireless noise-canceling headsets', 'retro gaming console 4k', 'ultra-light hiking backpack', each '142 instances this week')</t>
  </si>
  <si>
    <t>TC_MERCH_09</t>
  </si>
  <si>
    <t>Verify 'Fix with AI' triggers an AI-suggested fix for a zero-result search term</t>
  </si>
  <si>
    <t>'wireless noise-canceling headsets' shows 0 results</t>
  </si>
  <si>
    <t>AI proposes a fix (e.g. synonym mapping, category tagging, or a new product suggestion) for the zero-result search term, which the admin can review and apply</t>
  </si>
  <si>
    <t>Click 'Fix with AI' next to that term</t>
  </si>
  <si>
    <t>TC_MERCH_10</t>
  </si>
  <si>
    <t>Verify a zero-result search term is removed from the list once its fix is applied</t>
  </si>
  <si>
    <t>A 'Fix with AI' action was applied to 'retro gaming console 4k' and it now returns results</t>
  </si>
  <si>
    <t>'retro gaming console 4k' no longer appears in the Zero Result Searches list, since it now returns results</t>
  </si>
  <si>
    <t>Reload the Merchandising &amp; Discovery page</t>
  </si>
  <si>
    <t>Observe the Zero Result Searches list</t>
  </si>
  <si>
    <t>TC_MERCH_11</t>
  </si>
  <si>
    <t>Verify Merchandising Zones displays accurate zone details</t>
  </si>
  <si>
    <t>Merchandising Zones panel is visible</t>
  </si>
  <si>
    <t>Zone accurately shows 'Visible to all customers · 4 items active' and an 'Active' status badge, matching the zone's actual configuration</t>
  </si>
  <si>
    <t>Observe 'Homepage Featured' (visibility, item count, status)</t>
  </si>
  <si>
    <t>TC_MERCH_12</t>
  </si>
  <si>
    <t>Verify clicking a Merchandising Zone navigates to its detailed configuration</t>
  </si>
  <si>
    <t>User navigates to the detailed configuration for 'Category Banners', showing the 4 active items and allowing edits</t>
  </si>
  <si>
    <t>Click the '&gt;' chevron on 'Category Banners'</t>
  </si>
  <si>
    <t>TC_MERCH_13</t>
  </si>
  <si>
    <t>Verify '+ Add Zone' opens a new zone creation flow</t>
  </si>
  <si>
    <t>A new-zone creation form opens, allowing the admin to define the zone's name, visibility, and item placements</t>
  </si>
  <si>
    <t>Click '+ Add Zone'</t>
  </si>
  <si>
    <t>TC_MERCH_14</t>
  </si>
  <si>
    <t>Verify 'Ask AI Assistant' opens the AI assistant for merchandising queries</t>
  </si>
  <si>
    <t>An AI assistant chat panel opens, allowing the admin to ask questions about recommendations, search, and merchandising zones</t>
  </si>
  <si>
    <t>Click 'Ask AI Assistant'</t>
  </si>
  <si>
    <t>TC_MERCH_15</t>
  </si>
  <si>
    <t>Verify disabling a Product Recommendation rule removes it from the live storefront</t>
  </si>
  <si>
    <t>'Frequently Bought Together' is ON and visible on a product page</t>
  </si>
  <si>
    <t>The 'Frequently Bought Together' widget no longer appears on the storefront product page once the rule is disabled</t>
  </si>
  <si>
    <t>Toggle 'Frequently Bought Together' off</t>
  </si>
  <si>
    <t>View the same product page on the storefront</t>
  </si>
  <si>
    <t>TC_MERCH_16</t>
  </si>
  <si>
    <t>Verify the page handles a zero-campaign/zero-zone state gracefully</t>
  </si>
  <si>
    <t>A newly connected store has no campaigns, recommendation rules, or merchandising zones configured yet</t>
  </si>
  <si>
    <t>Summary cards show 0/0%; Product Recommendations, Search &amp; Discovery, and Merchandising Zones panels show appropriate empty states rather than errors or broken layouts</t>
  </si>
  <si>
    <t>Navigate to Merchandising &amp; Discovery for that store</t>
  </si>
  <si>
    <t>TC_RULESENGINE_01</t>
  </si>
  <si>
    <t>Verify Rules Engine page loads with default view</t>
  </si>
  <si>
    <t>Admin navigates to the 'Rules Engine' tab</t>
  </si>
  <si>
    <t>Page loads with 'Rules Engine' heading, summary cards (Active Rules, Rule Conflicts, AI Suggestions), a Business Rules table with Filters/'+ New Rule' controls, and an 'AI Rule Assistant' panel</t>
  </si>
  <si>
    <t>Observe the summary cards, Business Rules table, and AI Rule Assistant panel</t>
  </si>
  <si>
    <t>TC_RULESENGINE_02</t>
  </si>
  <si>
    <t>Verify Active Rules count and category breakdown are accurate</t>
  </si>
  <si>
    <t>156 rules exist across Pricing, Validation, Approval and Workflow categories</t>
  </si>
  <si>
    <t>Count matches the true number of active rules; '4 categories' matches the distinct rule categories actually in use</t>
  </si>
  <si>
    <t>Observe 'Active Rules' card ('156 Across 4 categories')</t>
  </si>
  <si>
    <t>TC_RULESENGINE_03</t>
  </si>
  <si>
    <t>Verify Rule Conflicts card shows an accurate count and 'Action Required' flag</t>
  </si>
  <si>
    <t>3 unresolved rule conflicts exist</t>
  </si>
  <si>
    <t>Card shows '3', 'Action Required' in orange, and 'Needs resolution', matching the actual number of unresolved conflicts</t>
  </si>
  <si>
    <t>Observe the 'Rule Conflicts' card</t>
  </si>
  <si>
    <t>TC_RULESENGINE_04</t>
  </si>
  <si>
    <t>Verify AI Suggestions count reflects pending recommendations</t>
  </si>
  <si>
    <t>7 AI suggestions are pending review</t>
  </si>
  <si>
    <t>Card shows '7 Pending review', matching the actual count of unreviewed AI Rule Assistant suggestions</t>
  </si>
  <si>
    <t>Observe the 'AI Suggestions' card</t>
  </si>
  <si>
    <t>TC_RULESENGINE_05</t>
  </si>
  <si>
    <t>Business Rules table contains Pricing, Validation, Approval and Workflow rules</t>
  </si>
  <si>
    <t>Each category displays a distinct, consistent badge color matching the category text exactly</t>
  </si>
  <si>
    <t>TC_RULESENGINE_06</t>
  </si>
  <si>
    <t>Verify Priority text color coding</t>
  </si>
  <si>
    <t>Business Rules table contains High, Med and Low priority rules</t>
  </si>
  <si>
    <t>High = red/orange text, Med = amber text, Low = grey text, consistent across all rows</t>
  </si>
  <si>
    <t>TC_RULESENGINE_07</t>
  </si>
  <si>
    <t>Business Rules table contains Active and Inactive rules</t>
  </si>
  <si>
    <t>Active = green badge, Inactive = grey badge; only Active rules are enforced on the storefront/checkout</t>
  </si>
  <si>
    <t>Observe the Status column (e.g. 'Tax Exemption B2B' = Inactive, others = Active)</t>
  </si>
  <si>
    <t>TC_RULESENGINE_08</t>
  </si>
  <si>
    <t>Verify 'Filters' narrows the Business Rules table</t>
  </si>
  <si>
    <t>Business Rules table is populated</t>
  </si>
  <si>
    <t>Category: Validation</t>
  </si>
  <si>
    <t>Only Validation rules (e.g. Order Min $50, Tax Exemption B2B) are displayed</t>
  </si>
  <si>
    <t>Click 'Filters'</t>
  </si>
  <si>
    <t>Filter by Category = 'Validation'</t>
  </si>
  <si>
    <t>TC_RULESENGINE_09</t>
  </si>
  <si>
    <t>Verify '+ New Rule' navigates to the Create New Rule page</t>
  </si>
  <si>
    <t>Rules Engine page is open</t>
  </si>
  <si>
    <t>User is navigated to the 'Create New Rule' page with an empty form</t>
  </si>
  <si>
    <t>Click '+ New Rule'</t>
  </si>
  <si>
    <t>TC_RULESENGINE_10</t>
  </si>
  <si>
    <t>Verify the ⋮ actions menu offers valid rule actions</t>
  </si>
  <si>
    <t>A menu opens with relevant actions (e.g. Edit, Duplicate, Deactivate, Delete)</t>
  </si>
  <si>
    <t>Click the ⋮ icon on the 'Flash Sale Promo' row</t>
  </si>
  <si>
    <t>TC_RULESENGINE_11</t>
  </si>
  <si>
    <t>Verify accepting an AI Rule Assistant suggestion applies the change</t>
  </si>
  <si>
    <t>AI Rule Assistant shows 'Suggested: Lower approval threshold' to $3,000</t>
  </si>
  <si>
    <t>The relevant rule's threshold updates to $3,000; the suggestion is removed from the AI Rule Assistant panel; the 'AI Suggestions' count decrements</t>
  </si>
  <si>
    <t>Click 'Accept' on that suggestion</t>
  </si>
  <si>
    <t>TC_RULESENGINE_12</t>
  </si>
  <si>
    <t>Verify dismissing an AI Rule Assistant suggestion discards it without applying</t>
  </si>
  <si>
    <t>AI Rule Assistant shows a pending suggestion</t>
  </si>
  <si>
    <t>Suggestion is removed from the panel; no rule configuration is changed; the suggestion does not reappear</t>
  </si>
  <si>
    <t>Click 'Dismiss' on that suggestion</t>
  </si>
  <si>
    <t>TC_RULESENGINE_13</t>
  </si>
  <si>
    <t>Verify the conflict card accurately identifies overlapping rules and affected products</t>
  </si>
  <si>
    <t>Rule #12 (B2B discounts) and Rule #45 (wholesale tier) overlap</t>
  </si>
  <si>
    <t>Card text accurately identifies the two conflicting rules and the number of affected products (e.g. '34 products'), matching the actual overlap in rule conditions</t>
  </si>
  <si>
    <t>Observe the 'Conflict: Overlapping rules #12 &amp; #45' card</t>
  </si>
  <si>
    <t>TC_RULESENGINE_14</t>
  </si>
  <si>
    <t>Verify resolving a conflict decreases the Rule Conflicts summary count</t>
  </si>
  <si>
    <t>'Rule Conflicts' card shows 3</t>
  </si>
  <si>
    <t>'Rule Conflicts' count decreases to 2, reflecting that one conflict has been resolved</t>
  </si>
  <si>
    <t>Accept the conflict-resolution suggestion for Rule #12 &amp; #45</t>
  </si>
  <si>
    <t>Observe the 'Rule Conflicts' summary card</t>
  </si>
  <si>
    <t>TC_RULESENGINE_15</t>
  </si>
  <si>
    <t>An AI assistant chat panel opens, allowing the admin to ask questions about business rules</t>
  </si>
  <si>
    <t>TC_RULESENGINE_16</t>
  </si>
  <si>
    <t>Verify an Inactive rule does not apply its logic</t>
  </si>
  <si>
    <t>'Tax Exemption B2B' rule is Inactive</t>
  </si>
  <si>
    <t>No tax exemption is applied to the order, since the rule's Status is Inactive</t>
  </si>
  <si>
    <t>Place a wholesale-group order that would have matched this rule's conditions if active</t>
  </si>
  <si>
    <t>TC_RULESENGINE_17</t>
  </si>
  <si>
    <t>Verify the page shows an appropriate empty state when zero business rules exist</t>
  </si>
  <si>
    <t>A newly connected store has no business rules configured yet</t>
  </si>
  <si>
    <t>Summary cards show 0; Business Rules table shows an empty state prompting the admin to create a new rule; AI Rule Assistant shows a 'not enough data yet' state</t>
  </si>
  <si>
    <t>Navigate to Rules Engine for that store</t>
  </si>
  <si>
    <t>TC_NEWRULE_01</t>
  </si>
  <si>
    <t>Verify Create New Rule page loads with an empty form</t>
  </si>
  <si>
    <t>Admin clicks '+ New Rule' from Rules Engine</t>
  </si>
  <si>
    <t>Page shows 'Create New Rule' heading and subtitle, an empty AI Rule Builder chat box, '1. Select Rule Type' with 'Custom Rule' available, empty '2. Rule Configuration', empty Conditions, empty '3. Workflow Steps', '4. Industry Templates', a Test This Rule panel, and Cancel/Save as Draft/Activate Rule buttons</t>
  </si>
  <si>
    <t>TC_NEWRULE_02</t>
  </si>
  <si>
    <t>Verify the AI Rule Builder auto-configures a complete workflow rule from a natural-language description</t>
  </si>
  <si>
    <t>Create New Rule page is open</t>
  </si>
  <si>
    <t>'Create a workflow rule that requires manager approval for any order over $5,000 from new customers. If approved, process the order and forward to warehouse. If rejected, notify the customer with the reason. Name it Order Approval Workflow, high priority.'</t>
  </si>
  <si>
    <t>AI responds 'I have configured your workflow rule:' with Rule: Order Approval Workflow, Type: Workflow, Trigger: Order placed, Conditions: Total &gt; $5,000 AND New Customer, and a 3-step Workflow (Manager Approval -&gt; Process/Reject -&gt; Update Status); Rule Configuration, Conditions and Workflow Steps sections populate to match</t>
  </si>
  <si>
    <t>Type a detailed approval-workflow request into the AI chat box</t>
  </si>
  <si>
    <t>TC_NEWRULE_03</t>
  </si>
  <si>
    <t>Verify the AI proactively offers a relevant Industry Template based on context</t>
  </si>
  <si>
    <t>AI has configured the Order Approval Workflow for a Show Management store (per TC_NEWRULE_02)</t>
  </si>
  <si>
    <t>AI offers to add the Show Management industry template for booth-related order validations ('Would you like me to add those?'); accepting the offer adds the relevant templates from section 4</t>
  </si>
  <si>
    <t>Observe the AI response for an industry-template offer</t>
  </si>
  <si>
    <t>TC_NEWRULE_04</t>
  </si>
  <si>
    <t>Verify quick-tag chips pre-fill a relevant prompt template</t>
  </si>
  <si>
    <t>AI Rule Builder input is empty</t>
  </si>
  <si>
    <t>The description input is pre-filled with a relevant notification-rule prompt template that the admin can edit before submitting</t>
  </si>
  <si>
    <t>Click the 'Notification rule' quick-tag chip</t>
  </si>
  <si>
    <t>TC_NEWRULE_05</t>
  </si>
  <si>
    <t>Verify 'Review Configuration Below' reflects the AI-extracted data in the form sections</t>
  </si>
  <si>
    <t>Rule Configuration, Conditions and Workflow Steps sections below are pre-filled with values matching the AI response exactly, and remain editable</t>
  </si>
  <si>
    <t>Click 'Review Configuration Below'</t>
  </si>
  <si>
    <t>TC_NEWRULE_06</t>
  </si>
  <si>
    <t>Rule is created and activated using the AI-configured values without requiring manual review of every field; user is redirected to Rules Engine with the new rule visible and Active</t>
  </si>
  <si>
    <t>TC_NEWRULE_07</t>
  </si>
  <si>
    <t>Verify 'Collapse' toggles the AI Rule Builder panel</t>
  </si>
  <si>
    <t>AI Rule Builder panel is expanded</t>
  </si>
  <si>
    <t>TC_NEWRULE_08</t>
  </si>
  <si>
    <t>Verify the side 'AI Rule Assistant' panel builds logic from a separate free-text description</t>
  </si>
  <si>
    <t>'If an order is from a new wholesale customer over $10k, flag for high priority and email the account manager.'</t>
  </si>
  <si>
    <t>AI generates a complete rule configuration (Conditions, Workflow Steps) based on the description, populating the form sections below</t>
  </si>
  <si>
    <t>Type a rule description into the side AI Rule Assistant textarea</t>
  </si>
  <si>
    <t>Click 'Generate Rule'</t>
  </si>
  <si>
    <t>TC_NEWRULE_09</t>
  </si>
  <si>
    <t>TC_NEWRULE_10</t>
  </si>
  <si>
    <t>Verify the Trigger Event dropdown lists valid trigger options</t>
  </si>
  <si>
    <t>Rule Configuration section is visible</t>
  </si>
  <si>
    <t>Dropdown lists valid triggers (e.g. 'When order is placed', 'When customer registers', 'When cart is updated') relevant to business rule automation</t>
  </si>
  <si>
    <t>Click the 'Trigger Event' dropdown</t>
  </si>
  <si>
    <t>TC_NEWRULE_11</t>
  </si>
  <si>
    <t>Verify '+ Add Condition' adds another AND-IF row</t>
  </si>
  <si>
    <t>Conditions section shows 2 rows (Order Total, Customer Type)</t>
  </si>
  <si>
    <t>TC_NEWRULE_12</t>
  </si>
  <si>
    <t>Verify the condition delete (trash) icon removes a condition row</t>
  </si>
  <si>
    <t>That condition row is removed; the rule's logic no longer requires that condition</t>
  </si>
  <si>
    <t>Click the delete icon on the 'Customer Type equals New Customer' row</t>
  </si>
  <si>
    <t>TC_NEWRULE_13</t>
  </si>
  <si>
    <t>Verify an incomplete condition blocks Activate Rule</t>
  </si>
  <si>
    <t>A condition row has field and operator set but the value left blank</t>
  </si>
  <si>
    <t>Validation error indicates the condition is incomplete; the rule is not activated</t>
  </si>
  <si>
    <t>TC_NEWRULE_14</t>
  </si>
  <si>
    <t>Verify '+ Add Workflow Step' adds a new step to the sequence</t>
  </si>
  <si>
    <t>Workflow Steps section shows Step 1 (Manager Approval) and Step 3 (Update Status)</t>
  </si>
  <si>
    <t>A new configurable step is added to the workflow sequence, which can be positioned and defined (action, notification) independently</t>
  </si>
  <si>
    <t>Click '+ Add Workflow Step'</t>
  </si>
  <si>
    <t>TC_NEWRULE_15</t>
  </si>
  <si>
    <t>Verify APPROVED/REJECTED branching logic is correctly configured and editable</t>
  </si>
  <si>
    <t>Step 1 'Manager Approval' branches to APPROVED -&gt; Process Order and REJECTED -&gt; Notify Customer</t>
  </si>
  <si>
    <t>Both branches are clearly labeled and independently editable; changing the REJECTED branch action does not affect the APPROVED branch</t>
  </si>
  <si>
    <t>Observe the branch labels and actions</t>
  </si>
  <si>
    <t>Edit the REJECTED branch's action</t>
  </si>
  <si>
    <t>TC_NEWRULE_16</t>
  </si>
  <si>
    <t>Verify 'Use Template' applies a pre-built Industry Template to the current rule</t>
  </si>
  <si>
    <t>'4. Industry Templates' section lists 'Booth allocation rules' under Show Management</t>
  </si>
  <si>
    <t>The template's pre-built conditions and actions are applied to (or added alongside) the current rule configuration, editable like any manually-built rule</t>
  </si>
  <si>
    <t>Click 'Use Template' on 'Booth allocation rules'</t>
  </si>
  <si>
    <t>TC_NEWRULE_17</t>
  </si>
  <si>
    <t>Verify 'Test This Rule' correctly evaluates a matching sample order</t>
  </si>
  <si>
    <t>Order #9401 - $5,240.00 is selected as the Sample Order, matching the rule's conditions (Total &gt; $5,000, New Customer)</t>
  </si>
  <si>
    <t>Order #9401 - $5,240.00</t>
  </si>
  <si>
    <t>Result shows 'Rule Passed - Workflow triggered successfully' in green, confirming the rule's logic correctly evaluates the matching order</t>
  </si>
  <si>
    <t>Click 'Run Test Case'</t>
  </si>
  <si>
    <t>TC_NEWRULE_18</t>
  </si>
  <si>
    <t>Verify 'Test This Rule' correctly reports a non-matching sample order</t>
  </si>
  <si>
    <t>A sample order that does NOT meet the rule's conditions is selected (e.g. Total &lt; $5,000)</t>
  </si>
  <si>
    <t>Result shows 'Rule Not Triggered' / 'Rule Failed' (or equivalent), correctly indicating the order does not meet the configured conditions</t>
  </si>
  <si>
    <t>TC_NEWRULE_19</t>
  </si>
  <si>
    <t>Verify the Rules Summary panel reflects the impact of the new rule</t>
  </si>
  <si>
    <t>Rules Summary shows 'Total Active Rules: 156', 'Potential Conflicts: 3 detected'</t>
  </si>
  <si>
    <t>'Potential Conflicts' updates to flag the new overlap (e.g. increases to 4) before the rule is even activated, giving the admin advance warning</t>
  </si>
  <si>
    <t>Configure a rule whose conditions overlap with an existing rule</t>
  </si>
  <si>
    <t>Observe the Rules Summary panel</t>
  </si>
  <si>
    <t>TC_NEWRULE_20</t>
  </si>
  <si>
    <t>Draft is saved without enforcing full mandatory-field/condition validation; draft is retrievable later for completion and appears in Rules Engine with Status = Draft/Inactive</t>
  </si>
  <si>
    <t>TC_NEWRULE_21</t>
  </si>
  <si>
    <t>Verify 'Activate Rule' with valid data creates the rule and it appears in Rules Engine</t>
  </si>
  <si>
    <t>All required fields, complete Conditions, and at least one Workflow Step are set</t>
  </si>
  <si>
    <t>Rule is created and activated; user is redirected to Rules Engine; the new rule appears in the Business Rules table with Status = Active and the correct Name, Category and Priority</t>
  </si>
  <si>
    <t>Navigate to Rules Engine</t>
  </si>
  <si>
    <t>TC_NEWRULE_22</t>
  </si>
  <si>
    <t>Several sections (Rule Configuration, Conditions, Workflow Steps) have been filled in</t>
  </si>
  <si>
    <t>User is returned to Rules Engine; no new rule or draft record is created</t>
  </si>
  <si>
    <t>TC_NEWRULE_23</t>
  </si>
  <si>
    <t>Verify script/HTML injection in Rule Name is sanitized</t>
  </si>
  <si>
    <t>Enter '&lt;script&gt;alert(1)&lt;/script&gt;' in 'Rule Name'</t>
  </si>
  <si>
    <t>TC_B2BMGMT_01</t>
  </si>
  <si>
    <t>Verify B2B Customer Management page loads with default view</t>
  </si>
  <si>
    <t>Admin navigates to the 'B2B Customers' tab</t>
  </si>
  <si>
    <t>Page loads with 'B2B Customer Management' heading, summary cards (Total Companies, Active Buyers, Pending Approvals, Account Hierarchies), a search box with Account Tier/Status filters, a company table, an Account Hierarchy tree, and an AI Recommendation banner</t>
  </si>
  <si>
    <t>Observe the summary cards, search/filters, company table, Account Hierarchy panel, and AI Recommendation banner</t>
  </si>
  <si>
    <t>TC_B2BMGMT_02</t>
  </si>
  <si>
    <t>B2B Customer Management page is open</t>
  </si>
  <si>
    <t>Each card's value and trend accurately reflects current company/buyer/approval/hierarchy data</t>
  </si>
  <si>
    <t>Compare 'Total Companies' (142, +3.2%), 'Active Buyers' (892, +15.2%), 'Pending Approvals' (23) and 'Account Hierarchies' (38) against actual data</t>
  </si>
  <si>
    <t>TC_B2BMGMT_03</t>
  </si>
  <si>
    <t>Verify search by company name returns matching results</t>
  </si>
  <si>
    <t>Table contains multiple companies, e.g. 'Global Tech Inc.'</t>
  </si>
  <si>
    <t>Search text: Global</t>
  </si>
  <si>
    <t>Table filters to show only companies whose name contains 'Global' (case-insensitive, partial match)</t>
  </si>
  <si>
    <t>Type 'Global' into the search box</t>
  </si>
  <si>
    <t>TC_B2BMGMT_04</t>
  </si>
  <si>
    <t>Verify search by buyer name returns matching results</t>
  </si>
  <si>
    <t>'John Smith' is a buyer at 'Global Tech Inc.'</t>
  </si>
  <si>
    <t>Search text: John Smith</t>
  </si>
  <si>
    <t>Search returns Global Tech Inc. (or the buyer's profile), correctly matching on buyer name as well as company name</t>
  </si>
  <si>
    <t>Type 'John Smith' into the search box</t>
  </si>
  <si>
    <t>Observe the results</t>
  </si>
  <si>
    <t>TC_B2BMGMT_05</t>
  </si>
  <si>
    <t>Search text: ZzzNoCompany</t>
  </si>
  <si>
    <t>Table shows a 'No companies found' empty state message; no rows displayed; no error is thrown</t>
  </si>
  <si>
    <t>Type a name that does not exist, e.g. 'ZzzNoCompany'</t>
  </si>
  <si>
    <t>TC_B2BMGMT_06</t>
  </si>
  <si>
    <t>TC_B2BMGMT_07</t>
  </si>
  <si>
    <t>Verify Account Tier filter narrows the table</t>
  </si>
  <si>
    <t>Table contains Enterprise, Professional and Starter companies</t>
  </si>
  <si>
    <t>Account Tier: Enterprise</t>
  </si>
  <si>
    <t>Only Enterprise-tier companies (e.g. Global Tech Inc., North Star Corp, Acme Corp) are displayed</t>
  </si>
  <si>
    <t>Select Account Tier = 'Enterprise'</t>
  </si>
  <si>
    <t>TC_B2BMGMT_08</t>
  </si>
  <si>
    <t>Verify Status filter narrows the table</t>
  </si>
  <si>
    <t>Table contains Active, Pending and Suspended companies</t>
  </si>
  <si>
    <t>Status: Suspended</t>
  </si>
  <si>
    <t>Only Suspended companies (e.g. Luminate Media) are displayed</t>
  </si>
  <si>
    <t>Select Status = 'Suspended'</t>
  </si>
  <si>
    <t>TC_B2BMGMT_09</t>
  </si>
  <si>
    <t>Verify Account Tier badge color coding</t>
  </si>
  <si>
    <t>Table contains Enterprise, Professional and Starter tiers</t>
  </si>
  <si>
    <t>Each tier displays a distinct, consistent badge color matching the tier text exactly</t>
  </si>
  <si>
    <t>Observe the Account Tier column across rows</t>
  </si>
  <si>
    <t>TC_B2BMGMT_10</t>
  </si>
  <si>
    <t>Active = green badge, Pending = orange/amber badge, Suspended = red badge; badge text matches the underlying account status</t>
  </si>
  <si>
    <t>Observe the Status column (e.g. Zenith Systems = Pending, Luminate Media = Suspended)</t>
  </si>
  <si>
    <t>TC_B2BMGMT_11</t>
  </si>
  <si>
    <t>Verify Credit Limit and Revenue YTD display accurate, correctly formatted values</t>
  </si>
  <si>
    <t>'Acme Corp' shows Credit Limit $1,000,000 and Revenue YTD $4.5M</t>
  </si>
  <si>
    <t>Displayed Credit Limit and Revenue YTD values match the account's true figures, correctly formatted with currency symbols and abbreviations</t>
  </si>
  <si>
    <t>Compare the displayed values against Acme Corp's actual account records</t>
  </si>
  <si>
    <t>TC_B2BMGMT_12</t>
  </si>
  <si>
    <t>Verify 'Updated Xd ago' reflects the actual last-modified timestamp</t>
  </si>
  <si>
    <t>A company record was last modified 2 days ago</t>
  </si>
  <si>
    <t>Relative timestamp accurately reflects the account's true last-modified date</t>
  </si>
  <si>
    <t>Observe the 'Updated 2d ago' text under the company name</t>
  </si>
  <si>
    <t>TC_B2BMGMT_13</t>
  </si>
  <si>
    <t>Verify the ⋮ actions menu offers valid company actions</t>
  </si>
  <si>
    <t>Company table is populated</t>
  </si>
  <si>
    <t>A menu opens with relevant actions (e.g. Edit, View Details, Suspend Account, Manage Team)</t>
  </si>
  <si>
    <t>Click the ⋮ icon on the 'Nexa Solutions' row</t>
  </si>
  <si>
    <t>TC_B2BMGMT_14</t>
  </si>
  <si>
    <t>Verify clicking a company row navigates to its detail/edit view</t>
  </si>
  <si>
    <t>User navigates to North Star Corp's detailed company/account view</t>
  </si>
  <si>
    <t>Click on the 'North Star Corp' row</t>
  </si>
  <si>
    <t>TC_B2BMGMT_15</t>
  </si>
  <si>
    <t>Verify the Account Hierarchy tree displays correct parent/child relationships and expand/collapse</t>
  </si>
  <si>
    <t>'Acme Corp (Parent)' has child divisions 'Acme West Division' and 'Acme East Division'</t>
  </si>
  <si>
    <t>Tree accurately reflects the true parent/child company structure; expand/collapse controls work correctly on each node independently</t>
  </si>
  <si>
    <t>Expand 'Acme West Division'</t>
  </si>
  <si>
    <t>Collapse 'Acme East Division' if expanded</t>
  </si>
  <si>
    <t>TC_B2BMGMT_16</t>
  </si>
  <si>
    <t>Verify the Account Hierarchy tree shows correct buyer roles under each division</t>
  </si>
  <si>
    <t>'Acme West Division' lists John Smith (Purchaser) and Sarah Lane (Manager)</t>
  </si>
  <si>
    <t>Role labels accurately match each buyer's actual assigned role within that division</t>
  </si>
  <si>
    <t>Observe the role labels next to each buyer name</t>
  </si>
  <si>
    <t>TC_B2BMGMT_17</t>
  </si>
  <si>
    <t>Verify '+ Add Company' navigates to the Add New Company page</t>
  </si>
  <si>
    <t>User is navigated to the 'Add New Company' page with an empty form</t>
  </si>
  <si>
    <t>Click '+ Add Company'</t>
  </si>
  <si>
    <t>TC_B2BMGMT_18</t>
  </si>
  <si>
    <t>Verify the AI Recommendation banner shows an accurate credit-risk insight</t>
  </si>
  <si>
    <t>Three buyers from Nexa Solutions have hit their 90% credit limit</t>
  </si>
  <si>
    <t>Banner accurately identifies Nexa Solutions and the number of buyers (3) at 90% of their credit limit, based on real account data</t>
  </si>
  <si>
    <t>Observe the AI Recommendation banner text</t>
  </si>
  <si>
    <t>TC_B2BMGMT_19</t>
  </si>
  <si>
    <t>Verify 'Automate Credit Extension' triggers the credit-extension workflow</t>
  </si>
  <si>
    <t>A credit-extension review/workflow is initiated for the affected Nexa Solutions buyers, or the admin is taken to a screen to configure it</t>
  </si>
  <si>
    <t>Click 'Automate Credit Extension'</t>
  </si>
  <si>
    <t>TC_B2BMGMT_20</t>
  </si>
  <si>
    <t>Verify '+ Ask AI about Customers' opens the AI assistant</t>
  </si>
  <si>
    <t>An AI assistant chat panel opens, allowing the admin to ask questions about B2B companies and buyers</t>
  </si>
  <si>
    <t>Click '+ Ask AI about Customers'</t>
  </si>
  <si>
    <t>TC_B2BMGMT_21</t>
  </si>
  <si>
    <t>Verify a Suspended company's buyers cannot place new orders</t>
  </si>
  <si>
    <t>'Luminate Media' has Status = Suspended</t>
  </si>
  <si>
    <t>Order placement is blocked with a message indicating the account is suspended, consistent with the Suspended status shown in B2B Customer Management</t>
  </si>
  <si>
    <t>Attempt to place a new order as a buyer under Luminate Media on the storefront</t>
  </si>
  <si>
    <t>TC_ADDCOMPANY_01</t>
  </si>
  <si>
    <t>Verify Add New Company page loads with an empty form</t>
  </si>
  <si>
    <t>Admin clicks '+ Add Company' from B2B Customer Management</t>
  </si>
  <si>
    <t>Page shows 'Add New Company' heading and subtitle, an empty AI Company Setup chat box, empty Company Information, no Account Tier pre-selected, an empty Team Members &amp; Roles table, an empty Buyer Portal Preview, and Cancel/Save as Draft/Create Company Account buttons</t>
  </si>
  <si>
    <t>TC_ADDCOMPANY_02</t>
  </si>
  <si>
    <t>Verify AI Company Setup auto-configures the complete account from a natural-language description</t>
  </si>
  <si>
    <t>Add New Company page is open</t>
  </si>
  <si>
    <t>'Set up TechFlow Solutions as a new B2B company. They are a show management manufacturer based in San Francisco. Professional tier account with $150,000 credit limit, Net 30 terms. Add John Smith as Admin with full access, Sarah Lane as Manager for order approvals, and Mike Chen as a Buyer. Use the Wholesale Tier B price list.'</t>
  </si>
  <si>
    <t>AI responds 'I have configured the complete company account:' with Company: TechFlow Solutions, Industry: Show Management, Tier: Professional, Credit: $150,000, Terms: Net 30, Team: 3 members (1 Admin, 1 Manager, 1 Buyer), Price List: Wholesale Tier B; Company Information, Account Settings and Team Members sections populate to match exactly</t>
  </si>
  <si>
    <t>Type a detailed company setup request into the AI chat box</t>
  </si>
  <si>
    <t>TC_ADDCOMPANY_03</t>
  </si>
  <si>
    <t>Verify the AI confirms buyer portal setup and invite email generation</t>
  </si>
  <si>
    <t>AI has configured the company account (per TC_ADDCOMPANY_02)</t>
  </si>
  <si>
    <t>AI states it has set up the buyer portal with default permissions and generated invite emails for all team members; each Team Member's Status shows 'Pending' until they accept</t>
  </si>
  <si>
    <t>Observe the remainder of the AI response</t>
  </si>
  <si>
    <t>TC_ADDCOMPANY_04</t>
  </si>
  <si>
    <t>Verify 'Import from CRM' opens a CRM import flow</t>
  </si>
  <si>
    <t>A CRM connection/import flow opens, allowing the admin to select a company record to import from a connected CRM</t>
  </si>
  <si>
    <t>Click 'Import from CRM'</t>
  </si>
  <si>
    <t>TC_ADDCOMPANY_05</t>
  </si>
  <si>
    <t>Verify 'Clone existing company' pre-fills the form from a selected company</t>
  </si>
  <si>
    <t>Form fields (Industry, Company Type, Account Settings, Role Configuration) are pre-filled based on Global Tech Inc.'s account, excluding company-specific identifiers like name/address which remain editable/blank</t>
  </si>
  <si>
    <t>Click 'Clone existing company'</t>
  </si>
  <si>
    <t>Select 'Global Tech Inc.' from the picker</t>
  </si>
  <si>
    <t>TC_ADDCOMPANY_06</t>
  </si>
  <si>
    <t>Verify 'Bulk import' opens a bulk company import flow</t>
  </si>
  <si>
    <t>A bulk-import dialog opens, allowing the admin to upload a file containing multiple company records</t>
  </si>
  <si>
    <t>Click 'Bulk import'</t>
  </si>
  <si>
    <t>TC_ADDCOMPANY_07</t>
  </si>
  <si>
    <t>Verify 'Review &amp; Edit Fields Below' reflects the AI-extracted data</t>
  </si>
  <si>
    <t>AI has configured the company account</t>
  </si>
  <si>
    <t>Company Information, Account Settings and Team Members &amp; Roles sections below are pre-filled with values matching the AI response exactly, and remain editable</t>
  </si>
  <si>
    <t>TC_ADDCOMPANY_08</t>
  </si>
  <si>
    <t>Verify 'Create Company Account' from the AI panel creates the account directly</t>
  </si>
  <si>
    <t>Company account is created using the AI-configured values without requiring manual review of every field; user is redirected to B2B Customer Management with the new company visible</t>
  </si>
  <si>
    <t>Click 'Create Company Account' directly under the AI response</t>
  </si>
  <si>
    <t>TC_ADDCOMPANY_09</t>
  </si>
  <si>
    <t>Verify Company Name is a mandatory field</t>
  </si>
  <si>
    <t>'Company Name is required' validation error is shown; account is not created</t>
  </si>
  <si>
    <t>Click 'Create Company Account'</t>
  </si>
  <si>
    <t>TC_ADDCOMPANY_10</t>
  </si>
  <si>
    <t>Verify Contact Email format validation</t>
  </si>
  <si>
    <t>Contact Email: billing@techflow</t>
  </si>
  <si>
    <t>'Please enter a valid email address' validation message is shown; account is not created</t>
  </si>
  <si>
    <t>Enter an invalid email, e.g. 'billing@techflow'</t>
  </si>
  <si>
    <t>TC_ADDCOMPANY_11</t>
  </si>
  <si>
    <t>Verify Industry and Company Type dropdowns list correct predefined values</t>
  </si>
  <si>
    <t>Company Information section is visible</t>
  </si>
  <si>
    <t>Both dropdowns list the correct, complete predefined lists (e.g. Industries: Show Management, Fasteners, MRO Parts; Company Types: Manufacturer, Distributor, Retailer)</t>
  </si>
  <si>
    <t>Open the 'Industry' dropdown</t>
  </si>
  <si>
    <t>Open the 'Company Type' dropdown</t>
  </si>
  <si>
    <t>TC_ADDCOMPANY_12</t>
  </si>
  <si>
    <t>Verify Account Tier selection is single-select and updates the feature set</t>
  </si>
  <si>
    <t>Account Settings section is visible</t>
  </si>
  <si>
    <t>Only the most recently clicked tier stays highlighted/selected; the previous selection is deselected; the tier description text updates accordingly</t>
  </si>
  <si>
    <t>Click 'Starter'</t>
  </si>
  <si>
    <t>Then click 'Professional'</t>
  </si>
  <si>
    <t>TC_ADDCOMPANY_13</t>
  </si>
  <si>
    <t>Verify Credit Limit field rejects negative values</t>
  </si>
  <si>
    <t>Credit Limit: -5000</t>
  </si>
  <si>
    <t>Validation error indicates Credit Limit must be zero or a positive number; account is not created</t>
  </si>
  <si>
    <t>Enter '-5000' in 'Credit Limit'</t>
  </si>
  <si>
    <t>TC_ADDCOMPANY_14</t>
  </si>
  <si>
    <t>Verify Payment Terms, Currency and Price List dropdowns function correctly</t>
  </si>
  <si>
    <t>All three selections are accepted and saved with the company account, matching the options available in each dropdown</t>
  </si>
  <si>
    <t>Select Payment Terms = 'Net 30'</t>
  </si>
  <si>
    <t>Select Currency = 'USD'</t>
  </si>
  <si>
    <t>Select Price List = 'Wholesale Tier B'</t>
  </si>
  <si>
    <t>TC_ADDCOMPANY_15</t>
  </si>
  <si>
    <t>Verify '+ Add Team Member' adds a new row to Team Members &amp; Roles</t>
  </si>
  <si>
    <t>Team Members &amp; Roles table has 3 rows</t>
  </si>
  <si>
    <t>A new editable row (Name, Email, Role, Permissions) is added to the Team Members &amp; Roles table</t>
  </si>
  <si>
    <t>Click '+ Add Team Member'</t>
  </si>
  <si>
    <t>TC_ADDCOMPANY_16</t>
  </si>
  <si>
    <t>Verify each team member's Role maps to the correct default Permissions text</t>
  </si>
  <si>
    <t>'John Smith' = Admin, 'Sarah Lane' = Manager, 'Mike Chen' = Buyer</t>
  </si>
  <si>
    <t>Admin shows 'Full Access', Manager shows 'Approve Orders + View Reports', Buyer shows 'Place Orders + View Catalog', matching the Role Configuration definitions</t>
  </si>
  <si>
    <t>Observe the Permissions column for each</t>
  </si>
  <si>
    <t>TC_ADDCOMPANY_17</t>
  </si>
  <si>
    <t>Verify the edit and delete icons on a Team Member row function correctly</t>
  </si>
  <si>
    <t>Team Members &amp; Roles table is populated</t>
  </si>
  <si>
    <t>Mike Chen's Role updates to Manager with corresponding Permissions; the deleted row is removed from the table without affecting the others</t>
  </si>
  <si>
    <t>Click the edit icon on 'Mike Chen'</t>
  </si>
  <si>
    <t>Change his Role to 'Manager'</t>
  </si>
  <si>
    <t>Click the delete icon on a different row</t>
  </si>
  <si>
    <t>TC_ADDCOMPANY_18</t>
  </si>
  <si>
    <t>Verify a duplicate team member email is rejected</t>
  </si>
  <si>
    <t>'john@techflow.com' is already assigned to John Smith</t>
  </si>
  <si>
    <t>Email: john@techflow.com</t>
  </si>
  <si>
    <t>Validation error indicates this email is already assigned to a team member; the duplicate is not added</t>
  </si>
  <si>
    <t>Add a new team member with the same email 'john@techflow.com'</t>
  </si>
  <si>
    <t>TC_ADDCOMPANY_19</t>
  </si>
  <si>
    <t>Verify the Role Configuration edit icon allows customizing a role's permission set</t>
  </si>
  <si>
    <t>Role Configuration section lists Admin/Manager/Buyer default permissions</t>
  </si>
  <si>
    <t>Manager's permission set updates to include the new permission; all team members currently assigned the Manager role inherit the updated permissions</t>
  </si>
  <si>
    <t>Click the edit icon next to 'Manager'</t>
  </si>
  <si>
    <t>Add an additional permission, e.g. 'Manage Catalog Pricing'</t>
  </si>
  <si>
    <t>TC_ADDCOMPANY_20</t>
  </si>
  <si>
    <t>Verify the Buyer Portal Preview updates live to reflect current settings</t>
  </si>
  <si>
    <t>Company Name = TechFlow Solutions, Tier = Professional, Price List = Wholesale Tier B</t>
  </si>
  <si>
    <t>Preview shows 'TechFlow' with a 'WHOLESALE TIER B' badge, Browse Catalog/Reorder/View Quotes/Support actions, and an Account Balance/limit-remaining bar consistent with the configured Credit Limit</t>
  </si>
  <si>
    <t>Observe the 'Buyer Portal Preview' card</t>
  </si>
  <si>
    <t>TC_ADDCOMPANY_21</t>
  </si>
  <si>
    <t>Verify 'Link to Parent Company' correctly nests the new company under a parent</t>
  </si>
  <si>
    <t>Account Hierarchy panel is visible</t>
  </si>
  <si>
    <t>The new company is nested as a child/division under the selected parent company in the Account Hierarchy</t>
  </si>
  <si>
    <t>Search for and select an existing parent company under 'Link to Parent Company'</t>
  </si>
  <si>
    <t>TC_ADDCOMPANY_22</t>
  </si>
  <si>
    <t>Verify 'Create Sub-Account' creates a nested sub-account</t>
  </si>
  <si>
    <t>Account Hierarchy panel is visible for an existing company</t>
  </si>
  <si>
    <t>A new sub-account creation flow opens, pre-linked as a child of the current company in the Account Hierarchy</t>
  </si>
  <si>
    <t>Click 'Create Sub-Account'</t>
  </si>
  <si>
    <t>TC_ADDCOMPANY_23</t>
  </si>
  <si>
    <t>Only Company Name and Industry are filled in</t>
  </si>
  <si>
    <t>Draft is saved without enforcing full mandatory-field/team-member validation; draft is retrievable later for completion</t>
  </si>
  <si>
    <t>TC_ADDCOMPANY_24</t>
  </si>
  <si>
    <t>Verify 'Create Company Account' with valid data creates the company and it appears in B2B Customer Management</t>
  </si>
  <si>
    <t>All required fields, an Account Tier, and at least one team member are set</t>
  </si>
  <si>
    <t>Company account is created; user is redirected to B2B Customer Management; the new company appears in the table with the correct Name, Account Tier, Buyers count and Credit Limit</t>
  </si>
  <si>
    <t>Navigate to B2B Customer Management</t>
  </si>
  <si>
    <t>TC_ADDCOMPANY_25</t>
  </si>
  <si>
    <t>Several sections (Company Information, Account Settings, Team Members) have been filled in</t>
  </si>
  <si>
    <t>User is returned to B2B Customer Management; no new company or draft record is created</t>
  </si>
  <si>
    <t>TC_ADDCOMPANY_26</t>
  </si>
  <si>
    <t>Verify script/HTML injection in Company Name and Legal Entity Name is sanitized</t>
  </si>
  <si>
    <t>Enter '&lt;script&gt;alert(1)&lt;/script&gt;' in 'Company Name' and 'Legal Entity Name'</t>
  </si>
  <si>
    <t>TC_ADDCOMPANY_27</t>
  </si>
  <si>
    <t>Verify a Team Member's Status only becomes Active after they accept their invite</t>
  </si>
  <si>
    <t>'Mike Chen' was just added with Status = Pending</t>
  </si>
  <si>
    <t>Status transitions from 'Pending' to 'Active' only after the invite is accepted, not automatically upon creation</t>
  </si>
  <si>
    <t>Simulate Mike Chen accepting the invite email</t>
  </si>
  <si>
    <t>Observe his Status in the Team Members table</t>
  </si>
  <si>
    <t>TC_PLATFORMCONFIG_01</t>
  </si>
  <si>
    <t>Verify Platform Configuration page loads with default view</t>
  </si>
  <si>
    <t>Admin navigates to the 'Configuration' tab</t>
  </si>
  <si>
    <t>Page loads with 'Platform Configuration' heading, a 'Store Settings' section expanded by default (with Store Name, Store URL, Timezone, Currency), collapsed sections for Site Management/Integration Settings/Security &amp; Access/Notifications/AI Settings, and an 'AI Configuration Assistant' panel</t>
  </si>
  <si>
    <t>Observe the accordion sections and the AI Configuration Assistant panel</t>
  </si>
  <si>
    <t>TC_PLATFORMCONFIG_02</t>
  </si>
  <si>
    <t>Verify accordion sections expand and collapse independently</t>
  </si>
  <si>
    <t>Only 'Store Settings' is expanded</t>
  </si>
  <si>
    <t>Each section expands/collapses independently of the others; multiple sections can be expanded simultaneously without affecting unrelated sections</t>
  </si>
  <si>
    <t>Click 'Site Management' to expand it</t>
  </si>
  <si>
    <t>Click 'Store Settings' to collapse it</t>
  </si>
  <si>
    <t>TC_PLATFORMCONFIG_03</t>
  </si>
  <si>
    <t>Verify Store Settings fields display and save correctly</t>
  </si>
  <si>
    <t>Store Settings section is expanded</t>
  </si>
  <si>
    <t>Store Name: My Store - North America</t>
  </si>
  <si>
    <t>Both fields accept the new values and persist after saving and reloading the page</t>
  </si>
  <si>
    <t>Change 'Store Name' to a new value</t>
  </si>
  <si>
    <t>Change 'Timezone' to a different zone</t>
  </si>
  <si>
    <t>TC_PLATFORMCONFIG_04</t>
  </si>
  <si>
    <t>Store URL: not a url</t>
  </si>
  <si>
    <t>Validation error indicates Store URL must be a valid URL; the change is not saved</t>
  </si>
  <si>
    <t>Enter an invalid URL in 'Store URL', e.g. 'not a url'</t>
  </si>
  <si>
    <t>TC_PLATFORMCONFIG_05</t>
  </si>
  <si>
    <t>Verify the Timezone dropdown lists valid timezone options</t>
  </si>
  <si>
    <t>Dropdown lists standard timezone options (e.g. '(GMT-08:00) Pacific Time (US &amp; Canada)') covering major regions</t>
  </si>
  <si>
    <t>Click the 'Timezone' dropdown</t>
  </si>
  <si>
    <t>TC_PLATFORMCONFIG_06</t>
  </si>
  <si>
    <t>Verify the Currency dropdown lists valid currency options</t>
  </si>
  <si>
    <t>Dropdown lists valid currency options (e.g. 'USD - United States Dollar') with correct ISO codes and names</t>
  </si>
  <si>
    <t>Click the 'Currency' dropdown</t>
  </si>
  <si>
    <t>TC_PLATFORMCONFIG_07</t>
  </si>
  <si>
    <t>Verify the AI Configuration Assistant responds accurately to a natural-language setup request</t>
  </si>
  <si>
    <t>Platform Configuration page is open</t>
  </si>
  <si>
    <t>'Set up my shipping zones for US and Canada'</t>
  </si>
  <si>
    <t>AI responds confirming it has created 2 shipping zones (US - all 50 states, flat rate $5.99; Canada, flat rate $12.99) and asks whether to customize rates by weight or add free shipping thresholds</t>
  </si>
  <si>
    <t>Type a shipping-zone setup request into the AI Configuration Assistant</t>
  </si>
  <si>
    <t>TC_PLATFORMCONFIG_08</t>
  </si>
  <si>
    <t>Verify the AI-proposed configuration includes 'Accept' and 'Modify' options</t>
  </si>
  <si>
    <t>AI has proposed the 2 shipping zones</t>
  </si>
  <si>
    <t>'Accept' and 'Modify' buttons are shown alongside the AI's proposed shipping zone configuration</t>
  </si>
  <si>
    <t>Observe the response for action buttons</t>
  </si>
  <si>
    <t>TC_PLATFORMCONFIG_09</t>
  </si>
  <si>
    <t>Verify 'Accept' applies the AI-proposed configuration</t>
  </si>
  <si>
    <t>The 2 shipping zones (US $5.99, Canada $12.99) are created and applied to the store's actual shipping configuration</t>
  </si>
  <si>
    <t>Click 'Accept'</t>
  </si>
  <si>
    <t>TC_PLATFORMCONFIG_10</t>
  </si>
  <si>
    <t>Verify 'Modify' allows adjusting the AI-proposed configuration before applying</t>
  </si>
  <si>
    <t>Admin can edit the proposed rates/zones (e.g. add a free-shipping threshold) before the configuration is applied to the store</t>
  </si>
  <si>
    <t>Click 'Modify'</t>
  </si>
  <si>
    <t>TC_PLATFORMCONFIG_11</t>
  </si>
  <si>
    <t>Verify AI Assistant quick-action chips initiate the correct flow</t>
  </si>
  <si>
    <t>AI Configuration Assistant panel is visible</t>
  </si>
  <si>
    <t>AI prompts for tax-configuration details or opens the relevant tax settings flow, consistent with the 'Configure taxes' chip's intent</t>
  </si>
  <si>
    <t>Click 'Configure taxes'</t>
  </si>
  <si>
    <t>TC_PLATFORMCONFIG_12</t>
  </si>
  <si>
    <t>Verify the 'Type your request...' input accepts free-text configuration requests</t>
  </si>
  <si>
    <t>'Enable two-factor authentication for admin logins'</t>
  </si>
  <si>
    <t>AI responds with a relevant configuration action or clarifying question related to Security &amp; Access settings</t>
  </si>
  <si>
    <t>Type a free-text request, e.g. 'Enable two-factor authentication for admin logins'</t>
  </si>
  <si>
    <t>TC_PLATFORMCONFIG_13</t>
  </si>
  <si>
    <t>Verify changes made via the AI Assistant are reflected in the corresponding accordion section</t>
  </si>
  <si>
    <t>AI has just applied the shipping-zone configuration (per TC_PLATFORMCONFIG_09)</t>
  </si>
  <si>
    <t>The newly created shipping zones are visible in the appropriate settings section without requiring a manual page refresh</t>
  </si>
  <si>
    <t>Expand the relevant Site Management/Integration Settings section</t>
  </si>
  <si>
    <t>Observe the shipping zone configuration</t>
  </si>
  <si>
    <t>TC_PLATFORMCONFIG_14</t>
  </si>
  <si>
    <t>Verify Platform Configuration access is restricted to authorized roles</t>
  </si>
  <si>
    <t>A user with a non-admin role is logged in</t>
  </si>
  <si>
    <t>Access is denied or the tab is not shown/selectable for unauthorized roles, per the platform's Role Permissions</t>
  </si>
  <si>
    <t>Attempt to navigate to the 'Configuration' tab / Platform Configuration URL directly</t>
  </si>
  <si>
    <t>TC_PLATFORMCONFIG_15</t>
  </si>
  <si>
    <t>Verify script/HTML injection in Store Name is sanitized</t>
  </si>
  <si>
    <t>Enter '&lt;script&gt;alert(1)&lt;/script&gt;' in 'Store Name'</t>
  </si>
  <si>
    <t>TC_PLATFORMCONFIG_16</t>
  </si>
  <si>
    <t>Verify Store Settings changes persist after page reload</t>
  </si>
  <si>
    <t>Store Name and Currency were just changed and saved</t>
  </si>
  <si>
    <t>The updated Store Name and Currency values are still displayed after reload, confirming the changes were persisted rather than only held in local state</t>
  </si>
  <si>
    <t>Reload the Platform Configuration page</t>
  </si>
  <si>
    <t>TC_E2E_CUST_01</t>
  </si>
  <si>
    <t>New user: request access, then connect an existing store</t>
  </si>
  <si>
    <t>A new customer has never logged into CommerceHub AI</t>
  </si>
  <si>
    <t>New user is granted access after approval, logs in successfully, connects an existing store, and store data syncs with no errors</t>
  </si>
  <si>
    <t>Go to portal.commercehub.ai</t>
  </si>
  <si>
    <t>Click the Customer Login tab</t>
  </si>
  <si>
    <t>System detects the account is new and shows 'Request Access'</t>
  </si>
  <si>
    <t>Click 'Request Access' and wait for approval</t>
  </si>
  <si>
    <t>Once approved, log in with credentials/SSO and authenticate</t>
  </si>
  <si>
    <t>Choose 'Connect Existing' platform</t>
  </si>
  <si>
    <t>Select the platform (e.g. Shopify) and enter API credentials</t>
  </si>
  <si>
    <t>Confirm 'Connection Success + Data Sync'</t>
  </si>
  <si>
    <t>TC_E2E_CUST_02</t>
  </si>
  <si>
    <t>Returning user: login and set up a brand-new store via AI-guided setup</t>
  </si>
  <si>
    <t>Customer already has an approved account</t>
  </si>
  <si>
    <t>Returning user logs in directly without needing Request Access, and completes a new store setup guided by AI with no manual platform/API entry required</t>
  </si>
  <si>
    <t>Enter credentials/SSO and authenticate</t>
  </si>
  <si>
    <t>Choose 'Configure New' instead of 'Connect Existing'</t>
  </si>
  <si>
    <t>Follow the AI-Guided New Store Setup</t>
  </si>
  <si>
    <t>TC_E2E_CUST_03</t>
  </si>
  <si>
    <t>Configure the platform end-to-end after a store is connected</t>
  </si>
  <si>
    <t>A store has just been connected (per TC_E2E_CUST_01 or 02)</t>
  </si>
  <si>
    <t>Each configuration step completes in sequence without blocking errors; the store ends the flow fully configured and ready for daily operations</t>
  </si>
  <si>
    <t>Continue to Dashboard</t>
  </si>
  <si>
    <t>Configure Store Settings</t>
  </si>
  <si>
    <t>Set up Templates using the AI Page Builder</t>
  </si>
  <si>
    <t>Configure Pricing Rules</t>
  </si>
  <si>
    <t>Set up Cart &amp; Checkout Flow</t>
  </si>
  <si>
    <t>Connect Payment Gateways</t>
  </si>
  <si>
    <t>Configure Merchandising &amp; Search</t>
  </si>
  <si>
    <t>TC_E2E_CUST_04</t>
  </si>
  <si>
    <t>Run core daily operations end-to-end</t>
  </si>
  <si>
    <t>Store platform configuration is complete</t>
  </si>
  <si>
    <t>Customer completes every daily-operations task without errors; AI Insights and the Conversational AI both return relevant, correct responses</t>
  </si>
  <si>
    <t>Manage Products &amp; Catalog</t>
  </si>
  <si>
    <t>Process an order</t>
  </si>
  <si>
    <t>Monitor Analytics &amp; KPIs</t>
  </si>
  <si>
    <t>Manage B2B Customer Accounts</t>
  </si>
  <si>
    <t>Review AI Insights</t>
  </si>
  <si>
    <t>Ask the Conversational AI a business question</t>
  </si>
  <si>
    <t>TC_E2E_CUST_05</t>
  </si>
  <si>
    <t>Run growth and optimization actions end-to-end</t>
  </si>
  <si>
    <t>Store is live with daily operations in use</t>
  </si>
  <si>
    <t>Customer can scale to multiple stores/industries; AI pricing optimization and rule scaling apply successfully; the Platform Dashboard reflects the growth actions taken</t>
  </si>
  <si>
    <t>Add another store</t>
  </si>
  <si>
    <t>Expand to a new industry</t>
  </si>
  <si>
    <t>Optimize pricing with AI</t>
  </si>
  <si>
    <t>Scale Rules &amp; Automation</t>
  </si>
  <si>
    <t>Review the Platform Dashboard</t>
  </si>
  <si>
    <t>TC_E2E_CUST_06</t>
  </si>
  <si>
    <t>New user cannot bypass Request Access into the dashboard</t>
  </si>
  <si>
    <t>System blocks access and prompts 'Request Access'; the new user cannot reach the dashboard or any store data until access is approved</t>
  </si>
  <si>
    <t>Attempt to log in as a new user without clicking 'Request Access'</t>
  </si>
  <si>
    <t>TC_E2E_ADMIN_01</t>
  </si>
  <si>
    <t>Admin logs in and reviews the platform overview</t>
  </si>
  <si>
    <t>Admin has a valid Arizon Digital admin account</t>
  </si>
  <si>
    <t>Admin logs in successfully, sees the ADMIN badge, and all platform-wide KPI, health, revenue and industry data loads correctly</t>
  </si>
  <si>
    <t>Visit CommerceHub AI</t>
  </si>
  <si>
    <t>Select the Arizon Digital User tab</t>
  </si>
  <si>
    <t>Enter admin credentials</t>
  </si>
  <si>
    <t>Confirm access to the Admin Portal (ADMIN badge shown)</t>
  </si>
  <si>
    <t>Review Platform KPIs (MRR, Users, Stores, Uptime)</t>
  </si>
  <si>
    <t>Monitor Platform Health &amp; Services</t>
  </si>
  <si>
    <t>Check Revenue Trends</t>
  </si>
  <si>
    <t>Review Industry Distribution</t>
  </si>
  <si>
    <t>TC_E2E_ADMIN_02</t>
  </si>
  <si>
    <t>Admin manages customers and provisions a new store end-to-end</t>
  </si>
  <si>
    <t>Admin is logged into the Admin Portal</t>
  </si>
  <si>
    <t>Admin can add/edit/suspend a customer and provision a new store; store sync status and API connections are tracked accurately throughout</t>
  </si>
  <si>
    <t>Manage a customer account (add, edit, or suspend)</t>
  </si>
  <si>
    <t>Provision a new store</t>
  </si>
  <si>
    <t>Monitor the new store's Sync Status</t>
  </si>
  <si>
    <t>Manage API Connections</t>
  </si>
  <si>
    <t>Handle Data Migration if needed</t>
  </si>
  <si>
    <t>TC_E2E_ADMIN_03</t>
  </si>
  <si>
    <t>Admin manages users and access end-to-end</t>
  </si>
  <si>
    <t>Admin can create/manage a user, assign the correct role and permissions, and review that user's activity and audit history accurately</t>
  </si>
  <si>
    <t>Manage Platform Users</t>
  </si>
  <si>
    <t>Assign a role (Admin/Business/Customer/Approver)</t>
  </si>
  <si>
    <t>Configure Permissions for that role</t>
  </si>
  <si>
    <t>Monitor User Activity</t>
  </si>
  <si>
    <t>Review the Audit Trail</t>
  </si>
  <si>
    <t>TC_E2E_ADMIN_04</t>
  </si>
  <si>
    <t>Admin manages billing and platform growth end-to-end</t>
  </si>
  <si>
    <t>Admin can manage a subscription plan, track revenue accurately, process a renewal/invoice, and successfully scale the platform to support a new industry</t>
  </si>
  <si>
    <t>Manage a subscription (Enterprise/Professional/Starter)</t>
  </si>
  <si>
    <t>Track MRR &amp; Revenue</t>
  </si>
  <si>
    <t>Handle an upcoming renewal</t>
  </si>
  <si>
    <t>Generate an invoice</t>
  </si>
  <si>
    <t>Scale the platform for a new industry</t>
  </si>
  <si>
    <t>TC_E2E_ADMIN_05</t>
  </si>
  <si>
    <t>Full admin journey runs continuously from login through growth</t>
  </si>
  <si>
    <t>Admin completes all 5 phases in one continuous session with no errors, and each phase's actions are reflected in later phases (e.g. the new store appears in Platform KPIs, the new user appears in the audit trail)</t>
  </si>
  <si>
    <t>Log in and reach the Admin Portal</t>
  </si>
  <si>
    <t>Review the Platform Overview (KPIs, health, revenue, industries)</t>
  </si>
  <si>
    <t>Manage a customer account and provision a new store</t>
  </si>
  <si>
    <t>Manage platform users and assign a role with permissions</t>
  </si>
  <si>
    <t>Manage subscriptions and track MRR</t>
  </si>
  <si>
    <t>TC_E2E_ADMIN_06</t>
  </si>
  <si>
    <t>Unauthorized access to the Admin Portal is blocked</t>
  </si>
  <si>
    <t>A user does not hold valid Arizon Digital admin credentials</t>
  </si>
  <si>
    <t>Access is denied; the user does not see the ADMIN badge or any admin-only navigation tabs, and cannot reach admin-only data</t>
  </si>
  <si>
    <t>Attempt to access the Admin Portal without valid admin credentials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</si>
</sst>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1">
    <font>
      <sz val="12"/>
      <color theme="1"/>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177" fontId="1" fillId="0" borderId="0" applyFont="0" applyFill="0" applyBorder="0" applyAlignment="0" applyProtection="0">
      <alignment vertical="center"/>
    </xf>
    <xf numFmtId="42" fontId="1"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1" fillId="2"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3" borderId="4" applyNumberFormat="0" applyAlignment="0" applyProtection="0">
      <alignment vertical="center"/>
    </xf>
    <xf numFmtId="0" fontId="11" fillId="4" borderId="5" applyNumberFormat="0" applyAlignment="0" applyProtection="0">
      <alignment vertical="center"/>
    </xf>
    <xf numFmtId="0" fontId="12" fillId="4" borderId="4" applyNumberFormat="0" applyAlignment="0" applyProtection="0">
      <alignment vertical="center"/>
    </xf>
    <xf numFmtId="0" fontId="13" fillId="5"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1">
    <xf numFmtId="0" fontId="0" fillId="0" borderId="0" xfId="0" applyNumberForma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Medium4"/>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J20"/>
  <sheetViews>
    <sheetView workbookViewId="0">
      <selection activeCell="A1" sqref="A1"/>
    </sheetView>
  </sheetViews>
  <sheetFormatPr defaultColWidth="9" defaultRowHeight="15.6"/>
  <sheetData>
    <row r="2" spans="2:2">
      <c r="B2" t="s">
        <v>0</v>
      </c>
    </row>
    <row r="3" spans="2:2">
      <c r="B3" t="s">
        <v>1</v>
      </c>
    </row>
    <row r="6" spans="2:2">
      <c r="B6" t="s">
        <v>2</v>
      </c>
    </row>
    <row r="7" spans="2:2">
      <c r="B7" t="s">
        <v>3</v>
      </c>
    </row>
    <row r="8" spans="2:2">
      <c r="B8" t="s">
        <v>4</v>
      </c>
    </row>
    <row r="9" spans="2:2">
      <c r="B9" t="s">
        <v>5</v>
      </c>
    </row>
    <row r="11" spans="2:2">
      <c r="B11" t="s">
        <v>6</v>
      </c>
    </row>
    <row r="12" spans="2:2">
      <c r="B12" t="s">
        <v>7</v>
      </c>
    </row>
    <row r="14" spans="2:2">
      <c r="B14" t="s">
        <v>8</v>
      </c>
    </row>
    <row r="15" spans="2:2">
      <c r="B15" t="s">
        <v>9</v>
      </c>
    </row>
    <row r="16" spans="2:2">
      <c r="B16" t="s">
        <v>10</v>
      </c>
    </row>
    <row r="17" spans="2:2">
      <c r="B17" t="s">
        <v>11</v>
      </c>
    </row>
    <row r="18" spans="2:2">
      <c r="B18" t="s">
        <v>12</v>
      </c>
    </row>
    <row r="20" spans="2:2">
      <c r="B20" t="s">
        <v>13</v>
      </c>
    </row>
  </sheetData>
  <mergeCells count="14">
    <mergeCell ref="B5:J5"/>
    <mergeCell ref="B6:J6"/>
    <mergeCell ref="B7:J7"/>
    <mergeCell ref="B8:J8"/>
    <mergeCell ref="B9:J9"/>
    <mergeCell ref="B10:J10"/>
    <mergeCell ref="B11:J11"/>
    <mergeCell ref="B12:J12"/>
    <mergeCell ref="B13:J13"/>
    <mergeCell ref="B14:J14"/>
    <mergeCell ref="B15:J15"/>
    <mergeCell ref="B16:J16"/>
    <mergeCell ref="B17:J17"/>
    <mergeCell ref="B18:J18"/>
  </mergeCells>
  <pageMargins left="0.75" right="0.75" top="1" bottom="1" header="0.511811023622047" footer="0.511811023622047"/>
  <headerFooter/>
  <ignoredErrors>
    <ignoredError sqref="B2:J20" numberStoredAsText="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workbookViewId="0">
      <selection activeCell="A1" sqref="A1"/>
    </sheetView>
  </sheetViews>
  <sheetFormatPr defaultColWidth="9" defaultRowHeight="15.6" outlineLevelCol="7"/>
  <sheetData>
    <row r="1" spans="1:8">
      <c r="A1" t="s">
        <v>14</v>
      </c>
      <c r="B1" t="s">
        <v>15</v>
      </c>
      <c r="C1" t="s">
        <v>16</v>
      </c>
      <c r="D1" t="s">
        <v>17</v>
      </c>
      <c r="E1" t="s">
        <v>18</v>
      </c>
      <c r="F1" t="s">
        <v>19</v>
      </c>
      <c r="G1" t="s">
        <v>20</v>
      </c>
      <c r="H1" t="s">
        <v>21</v>
      </c>
    </row>
    <row r="2" spans="1:8">
      <c r="A2" t="s">
        <v>22</v>
      </c>
      <c r="B2" t="s">
        <v>23</v>
      </c>
      <c r="C2" t="s">
        <v>24</v>
      </c>
      <c r="D2" t="s">
        <v>25</v>
      </c>
      <c r="E2" t="s">
        <v>26</v>
      </c>
      <c r="F2">
        <v>8</v>
      </c>
      <c r="G2" t="s">
        <v>27</v>
      </c>
    </row>
    <row r="3" spans="1:8">
      <c r="A3" t="s">
        <v>28</v>
      </c>
      <c r="B3" t="s">
        <v>23</v>
      </c>
      <c r="C3" t="s">
        <v>29</v>
      </c>
      <c r="D3" t="s">
        <v>30</v>
      </c>
      <c r="E3" t="s">
        <v>31</v>
      </c>
      <c r="F3">
        <v>23</v>
      </c>
      <c r="G3" t="s">
        <v>27</v>
      </c>
    </row>
    <row r="4" spans="1:8">
      <c r="A4" t="s">
        <v>32</v>
      </c>
      <c r="B4" t="s">
        <v>23</v>
      </c>
      <c r="C4" t="s">
        <v>33</v>
      </c>
      <c r="D4" t="s">
        <v>34</v>
      </c>
      <c r="E4" t="s">
        <v>35</v>
      </c>
      <c r="F4">
        <v>23</v>
      </c>
      <c r="G4" t="s">
        <v>27</v>
      </c>
    </row>
    <row r="5" spans="1:8">
      <c r="A5" t="s">
        <v>36</v>
      </c>
      <c r="B5" t="s">
        <v>23</v>
      </c>
      <c r="C5" t="s">
        <v>37</v>
      </c>
      <c r="D5" t="s">
        <v>38</v>
      </c>
      <c r="E5" t="s">
        <v>35</v>
      </c>
      <c r="F5">
        <v>5</v>
      </c>
      <c r="G5" t="s">
        <v>27</v>
      </c>
    </row>
    <row r="6" spans="1:8">
      <c r="A6" t="s">
        <v>39</v>
      </c>
      <c r="B6" t="s">
        <v>23</v>
      </c>
      <c r="C6" t="s">
        <v>40</v>
      </c>
      <c r="D6" t="s">
        <v>41</v>
      </c>
      <c r="E6" t="s">
        <v>35</v>
      </c>
      <c r="F6">
        <v>5</v>
      </c>
      <c r="G6" t="s">
        <v>42</v>
      </c>
    </row>
    <row r="7" spans="1:8">
      <c r="A7" t="s">
        <v>43</v>
      </c>
      <c r="B7" t="s">
        <v>44</v>
      </c>
      <c r="C7" t="s">
        <v>45</v>
      </c>
      <c r="D7" t="s">
        <v>46</v>
      </c>
      <c r="E7" t="s">
        <v>35</v>
      </c>
      <c r="F7">
        <v>8</v>
      </c>
      <c r="G7" t="s">
        <v>27</v>
      </c>
    </row>
    <row r="8" spans="1:8">
      <c r="A8" t="s">
        <v>47</v>
      </c>
      <c r="B8" t="s">
        <v>44</v>
      </c>
      <c r="C8" t="s">
        <v>48</v>
      </c>
      <c r="D8" t="s">
        <v>49</v>
      </c>
      <c r="E8" t="s">
        <v>50</v>
      </c>
      <c r="F8">
        <v>8</v>
      </c>
      <c r="G8" t="s">
        <v>27</v>
      </c>
    </row>
    <row r="9" spans="1:8">
      <c r="A9" t="s">
        <v>51</v>
      </c>
      <c r="B9" t="s">
        <v>44</v>
      </c>
      <c r="C9" t="s">
        <v>52</v>
      </c>
      <c r="D9" t="s">
        <v>53</v>
      </c>
      <c r="E9" t="s">
        <v>35</v>
      </c>
      <c r="F9">
        <v>6</v>
      </c>
      <c r="G9" t="s">
        <v>27</v>
      </c>
    </row>
    <row r="10" spans="1:8">
      <c r="A10" t="s">
        <v>54</v>
      </c>
      <c r="B10" t="s">
        <v>55</v>
      </c>
      <c r="C10" t="s">
        <v>56</v>
      </c>
      <c r="D10" t="s">
        <v>57</v>
      </c>
      <c r="E10" t="s">
        <v>35</v>
      </c>
      <c r="F10">
        <v>8</v>
      </c>
      <c r="G10" t="s">
        <v>27</v>
      </c>
    </row>
    <row r="11" spans="1:8">
      <c r="A11" t="s">
        <v>58</v>
      </c>
      <c r="B11" t="s">
        <v>59</v>
      </c>
      <c r="C11" t="s">
        <v>60</v>
      </c>
      <c r="D11" t="s">
        <v>61</v>
      </c>
      <c r="E11" t="s">
        <v>62</v>
      </c>
      <c r="F11">
        <v>6</v>
      </c>
      <c r="G11" t="s">
        <v>27</v>
      </c>
    </row>
    <row r="12" spans="1:8">
      <c r="A12" t="s">
        <v>63</v>
      </c>
      <c r="B12" t="s">
        <v>59</v>
      </c>
      <c r="C12" t="s">
        <v>64</v>
      </c>
      <c r="D12" t="s">
        <v>65</v>
      </c>
      <c r="E12" t="s">
        <v>62</v>
      </c>
      <c r="F12">
        <v>2</v>
      </c>
      <c r="G12" t="s">
        <v>27</v>
      </c>
    </row>
    <row r="13" spans="1:8">
      <c r="A13" t="s">
        <v>66</v>
      </c>
      <c r="B13" t="s">
        <v>59</v>
      </c>
      <c r="C13" t="s">
        <v>67</v>
      </c>
      <c r="D13" t="s">
        <v>68</v>
      </c>
      <c r="E13" t="s">
        <v>62</v>
      </c>
      <c r="F13">
        <v>1</v>
      </c>
      <c r="G13" t="s">
        <v>42</v>
      </c>
    </row>
    <row r="14" spans="1:8">
      <c r="A14" t="s">
        <v>69</v>
      </c>
      <c r="B14" t="s">
        <v>59</v>
      </c>
      <c r="C14" t="s">
        <v>70</v>
      </c>
      <c r="D14" t="s">
        <v>71</v>
      </c>
      <c r="E14" t="s">
        <v>62</v>
      </c>
      <c r="F14">
        <v>1</v>
      </c>
      <c r="G14" t="s">
        <v>42</v>
      </c>
    </row>
    <row r="15" spans="1:8">
      <c r="A15" t="s">
        <v>72</v>
      </c>
      <c r="B15" t="s">
        <v>59</v>
      </c>
      <c r="C15" t="s">
        <v>73</v>
      </c>
      <c r="D15" t="s">
        <v>74</v>
      </c>
      <c r="E15" t="s">
        <v>75</v>
      </c>
      <c r="F15">
        <v>4</v>
      </c>
      <c r="G15" t="s">
        <v>27</v>
      </c>
    </row>
    <row r="16" spans="1:8">
      <c r="A16" t="s">
        <v>76</v>
      </c>
      <c r="B16" t="s">
        <v>77</v>
      </c>
      <c r="C16" t="s">
        <v>78</v>
      </c>
      <c r="D16" t="s">
        <v>79</v>
      </c>
      <c r="E16" t="s">
        <v>78</v>
      </c>
      <c r="F16">
        <v>8</v>
      </c>
      <c r="G16" t="s">
        <v>27</v>
      </c>
    </row>
    <row r="17" spans="1:7">
      <c r="A17" t="s">
        <v>80</v>
      </c>
      <c r="B17" t="s">
        <v>81</v>
      </c>
      <c r="C17" t="s">
        <v>82</v>
      </c>
      <c r="D17" t="s">
        <v>83</v>
      </c>
      <c r="E17" t="s">
        <v>82</v>
      </c>
      <c r="F17">
        <v>8</v>
      </c>
      <c r="G17" t="s">
        <v>27</v>
      </c>
    </row>
    <row r="18" spans="1:7">
      <c r="A18" t="s">
        <v>84</v>
      </c>
      <c r="B18" t="s">
        <v>23</v>
      </c>
      <c r="C18" t="s">
        <v>85</v>
      </c>
      <c r="D18" t="s">
        <v>86</v>
      </c>
      <c r="E18" t="s">
        <v>26</v>
      </c>
      <c r="F18">
        <v>6</v>
      </c>
      <c r="G18" t="s">
        <v>27</v>
      </c>
    </row>
    <row r="19" spans="1:7">
      <c r="A19" t="s">
        <v>87</v>
      </c>
      <c r="B19" t="s">
        <v>23</v>
      </c>
      <c r="C19" t="s">
        <v>88</v>
      </c>
      <c r="D19" t="s">
        <v>89</v>
      </c>
      <c r="E19" t="s">
        <v>90</v>
      </c>
      <c r="F19">
        <v>9</v>
      </c>
      <c r="G19" t="s">
        <v>27</v>
      </c>
    </row>
    <row r="20" spans="1:7">
      <c r="A20" t="s">
        <v>91</v>
      </c>
      <c r="B20" t="s">
        <v>92</v>
      </c>
      <c r="C20" t="s">
        <v>93</v>
      </c>
      <c r="D20" t="s">
        <v>94</v>
      </c>
      <c r="E20" t="s">
        <v>50</v>
      </c>
      <c r="F20">
        <v>12</v>
      </c>
      <c r="G20" t="s">
        <v>27</v>
      </c>
    </row>
    <row r="21" spans="1:7">
      <c r="A21" t="s">
        <v>95</v>
      </c>
      <c r="B21" t="s">
        <v>92</v>
      </c>
      <c r="C21" t="s">
        <v>96</v>
      </c>
      <c r="D21" t="s">
        <v>97</v>
      </c>
      <c r="E21" t="s">
        <v>26</v>
      </c>
      <c r="F21">
        <v>5</v>
      </c>
      <c r="G21" t="s">
        <v>27</v>
      </c>
    </row>
    <row r="22" spans="1:7">
      <c r="A22" t="s">
        <v>98</v>
      </c>
      <c r="B22" t="s">
        <v>92</v>
      </c>
      <c r="C22" t="s">
        <v>99</v>
      </c>
      <c r="D22" t="s">
        <v>100</v>
      </c>
      <c r="E22" t="s">
        <v>50</v>
      </c>
      <c r="F22">
        <v>5</v>
      </c>
      <c r="G22" t="s">
        <v>27</v>
      </c>
    </row>
    <row r="23" spans="1:7">
      <c r="A23" t="s">
        <v>101</v>
      </c>
      <c r="B23" t="s">
        <v>92</v>
      </c>
      <c r="C23" t="s">
        <v>102</v>
      </c>
      <c r="D23" t="s">
        <v>103</v>
      </c>
      <c r="E23" t="s">
        <v>50</v>
      </c>
      <c r="F23">
        <v>6</v>
      </c>
      <c r="G23" t="s">
        <v>27</v>
      </c>
    </row>
    <row r="24" spans="1:7">
      <c r="A24" t="s">
        <v>104</v>
      </c>
      <c r="B24" t="s">
        <v>92</v>
      </c>
      <c r="C24" t="s">
        <v>105</v>
      </c>
      <c r="D24" t="s">
        <v>106</v>
      </c>
      <c r="E24" t="s">
        <v>50</v>
      </c>
      <c r="F24">
        <v>6</v>
      </c>
      <c r="G24" t="s">
        <v>27</v>
      </c>
    </row>
    <row r="25" spans="1:7">
      <c r="A25" t="s">
        <v>107</v>
      </c>
      <c r="B25" t="s">
        <v>92</v>
      </c>
      <c r="C25" t="s">
        <v>108</v>
      </c>
      <c r="D25" t="s">
        <v>109</v>
      </c>
      <c r="E25" t="s">
        <v>50</v>
      </c>
      <c r="F25">
        <v>6</v>
      </c>
      <c r="G25" t="s">
        <v>27</v>
      </c>
    </row>
    <row r="26" spans="1:7">
      <c r="A26" t="s">
        <v>110</v>
      </c>
      <c r="B26" t="s">
        <v>92</v>
      </c>
      <c r="C26" t="s">
        <v>111</v>
      </c>
      <c r="D26" t="s">
        <v>112</v>
      </c>
      <c r="E26" t="s">
        <v>50</v>
      </c>
      <c r="F26">
        <v>4</v>
      </c>
      <c r="G26" t="s">
        <v>27</v>
      </c>
    </row>
    <row r="27" spans="1:7">
      <c r="A27" t="s">
        <v>113</v>
      </c>
      <c r="B27" t="s">
        <v>92</v>
      </c>
      <c r="C27" t="s">
        <v>114</v>
      </c>
      <c r="D27" t="s">
        <v>115</v>
      </c>
      <c r="E27" t="s">
        <v>26</v>
      </c>
      <c r="F27">
        <v>4</v>
      </c>
      <c r="G27" t="s">
        <v>27</v>
      </c>
    </row>
    <row r="28" spans="1:7">
      <c r="A28" t="s">
        <v>116</v>
      </c>
      <c r="B28" t="s">
        <v>92</v>
      </c>
      <c r="C28" t="s">
        <v>117</v>
      </c>
      <c r="D28" t="s">
        <v>118</v>
      </c>
      <c r="E28" t="s">
        <v>50</v>
      </c>
      <c r="F28">
        <v>5</v>
      </c>
      <c r="G28" t="s">
        <v>27</v>
      </c>
    </row>
    <row r="29" spans="1:7">
      <c r="A29" t="s">
        <v>119</v>
      </c>
      <c r="B29" t="s">
        <v>92</v>
      </c>
      <c r="C29" t="s">
        <v>120</v>
      </c>
      <c r="D29" t="s">
        <v>121</v>
      </c>
      <c r="E29" t="s">
        <v>50</v>
      </c>
      <c r="F29">
        <v>7</v>
      </c>
      <c r="G29" t="s">
        <v>27</v>
      </c>
    </row>
    <row r="30" spans="1:7">
      <c r="A30" t="s">
        <v>122</v>
      </c>
      <c r="B30" t="s">
        <v>92</v>
      </c>
      <c r="C30" t="s">
        <v>123</v>
      </c>
      <c r="D30" t="s">
        <v>124</v>
      </c>
      <c r="E30" t="s">
        <v>50</v>
      </c>
      <c r="F30">
        <v>5</v>
      </c>
      <c r="G30" t="s">
        <v>27</v>
      </c>
    </row>
    <row r="31" spans="1:7">
      <c r="A31" t="s">
        <v>125</v>
      </c>
      <c r="B31" t="s">
        <v>92</v>
      </c>
      <c r="C31" t="s">
        <v>126</v>
      </c>
      <c r="D31" t="s">
        <v>127</v>
      </c>
      <c r="E31" t="s">
        <v>50</v>
      </c>
      <c r="F31">
        <v>5</v>
      </c>
      <c r="G31" t="s">
        <v>27</v>
      </c>
    </row>
    <row r="32" spans="1:7">
      <c r="A32" t="s">
        <v>128</v>
      </c>
      <c r="B32" t="s">
        <v>92</v>
      </c>
      <c r="C32" t="s">
        <v>129</v>
      </c>
      <c r="D32" t="s">
        <v>130</v>
      </c>
      <c r="E32" t="s">
        <v>131</v>
      </c>
      <c r="F32">
        <v>8</v>
      </c>
      <c r="G32" t="s">
        <v>27</v>
      </c>
    </row>
    <row r="33" spans="1:8">
      <c r="A33" t="s">
        <v>132</v>
      </c>
      <c r="B33" t="s">
        <v>92</v>
      </c>
      <c r="C33" t="s">
        <v>133</v>
      </c>
      <c r="D33" t="s">
        <v>134</v>
      </c>
      <c r="E33" t="s">
        <v>50</v>
      </c>
      <c r="F33">
        <v>5</v>
      </c>
      <c r="G33" t="s">
        <v>27</v>
      </c>
    </row>
    <row r="34" spans="1:8">
      <c r="A34" t="s">
        <v>135</v>
      </c>
      <c r="B34" t="s">
        <v>92</v>
      </c>
      <c r="C34" t="s">
        <v>136</v>
      </c>
      <c r="D34" t="s">
        <v>137</v>
      </c>
      <c r="E34" t="s">
        <v>138</v>
      </c>
      <c r="F34">
        <v>5</v>
      </c>
      <c r="G34" t="s">
        <v>27</v>
      </c>
    </row>
    <row r="35" spans="1:8">
      <c r="A35" t="s">
        <v>139</v>
      </c>
      <c r="B35" t="s">
        <v>92</v>
      </c>
      <c r="C35" t="s">
        <v>140</v>
      </c>
      <c r="D35" t="s">
        <v>141</v>
      </c>
      <c r="E35" t="s">
        <v>50</v>
      </c>
      <c r="F35">
        <v>2</v>
      </c>
      <c r="G35" t="s">
        <v>27</v>
      </c>
    </row>
    <row r="36" spans="1:8">
      <c r="A36" t="s">
        <v>142</v>
      </c>
      <c r="B36" t="s">
        <v>92</v>
      </c>
      <c r="C36" t="s">
        <v>143</v>
      </c>
      <c r="D36" t="s">
        <v>144</v>
      </c>
      <c r="E36" t="s">
        <v>145</v>
      </c>
      <c r="F36">
        <v>6</v>
      </c>
      <c r="G36" t="s">
        <v>27</v>
      </c>
    </row>
    <row r="37" spans="1:8">
      <c r="A37" t="s">
        <v>146</v>
      </c>
      <c r="B37" t="s">
        <v>147</v>
      </c>
      <c r="C37" t="s">
        <v>148</v>
      </c>
      <c r="D37" t="s">
        <v>149</v>
      </c>
      <c r="E37" t="s">
        <v>90</v>
      </c>
      <c r="F37">
        <v>4</v>
      </c>
      <c r="G37" t="s">
        <v>27</v>
      </c>
    </row>
    <row r="38" spans="1:8">
      <c r="A38" t="s">
        <v>150</v>
      </c>
      <c r="B38" t="s">
        <v>147</v>
      </c>
      <c r="C38" t="s">
        <v>151</v>
      </c>
      <c r="D38" t="s">
        <v>152</v>
      </c>
      <c r="E38" t="s">
        <v>50</v>
      </c>
      <c r="F38">
        <v>7</v>
      </c>
      <c r="G38" t="s">
        <v>27</v>
      </c>
    </row>
    <row r="39" spans="1:8">
      <c r="A39" t="s">
        <v>153</v>
      </c>
      <c r="B39" t="s">
        <v>147</v>
      </c>
      <c r="C39" t="s">
        <v>154</v>
      </c>
      <c r="D39" t="s">
        <v>155</v>
      </c>
      <c r="E39" t="s">
        <v>50</v>
      </c>
      <c r="F39">
        <v>7</v>
      </c>
      <c r="G39" t="s">
        <v>27</v>
      </c>
    </row>
    <row r="40" spans="1:8">
      <c r="A40" t="s">
        <v>156</v>
      </c>
      <c r="B40" t="s">
        <v>147</v>
      </c>
      <c r="C40" t="s">
        <v>157</v>
      </c>
      <c r="D40" t="s">
        <v>158</v>
      </c>
      <c r="E40" t="s">
        <v>50</v>
      </c>
      <c r="F40">
        <v>3</v>
      </c>
      <c r="G40" t="s">
        <v>27</v>
      </c>
    </row>
    <row r="41" spans="1:8">
      <c r="A41" t="s">
        <v>159</v>
      </c>
      <c r="B41" t="s">
        <v>147</v>
      </c>
      <c r="C41" t="s">
        <v>160</v>
      </c>
      <c r="D41" t="s">
        <v>161</v>
      </c>
      <c r="E41" t="s">
        <v>26</v>
      </c>
      <c r="F41">
        <v>5</v>
      </c>
      <c r="G41" t="s">
        <v>27</v>
      </c>
    </row>
    <row r="42" spans="1:8">
      <c r="A42" t="s">
        <v>162</v>
      </c>
      <c r="B42" t="s">
        <v>147</v>
      </c>
      <c r="C42" t="s">
        <v>163</v>
      </c>
      <c r="D42" t="s">
        <v>164</v>
      </c>
      <c r="E42" t="s">
        <v>26</v>
      </c>
      <c r="F42">
        <v>5</v>
      </c>
      <c r="G42" t="s">
        <v>27</v>
      </c>
    </row>
    <row r="43" spans="1:8">
      <c r="A43" t="s">
        <v>165</v>
      </c>
      <c r="B43" t="s">
        <v>147</v>
      </c>
      <c r="C43" t="s">
        <v>166</v>
      </c>
      <c r="D43" t="s">
        <v>167</v>
      </c>
      <c r="E43" t="s">
        <v>50</v>
      </c>
      <c r="F43">
        <v>4</v>
      </c>
      <c r="G43" t="s">
        <v>27</v>
      </c>
    </row>
    <row r="44" spans="1:8">
      <c r="A44" t="s">
        <v>168</v>
      </c>
      <c r="B44" t="s">
        <v>147</v>
      </c>
      <c r="C44" t="s">
        <v>169</v>
      </c>
      <c r="D44" t="s">
        <v>170</v>
      </c>
      <c r="E44" t="s">
        <v>26</v>
      </c>
      <c r="F44">
        <v>4</v>
      </c>
      <c r="G44" t="s">
        <v>27</v>
      </c>
    </row>
    <row r="45" spans="1:8">
      <c r="A45" t="s">
        <v>171</v>
      </c>
      <c r="B45" t="s">
        <v>147</v>
      </c>
      <c r="C45" t="s">
        <v>172</v>
      </c>
      <c r="D45" t="s">
        <v>173</v>
      </c>
      <c r="E45" t="s">
        <v>90</v>
      </c>
      <c r="F45">
        <v>5</v>
      </c>
      <c r="G45" t="s">
        <v>27</v>
      </c>
    </row>
    <row r="46" spans="1:8">
      <c r="A46" t="s">
        <v>174</v>
      </c>
      <c r="B46" t="s">
        <v>175</v>
      </c>
      <c r="C46" t="s">
        <v>176</v>
      </c>
      <c r="D46" t="s">
        <v>177</v>
      </c>
      <c r="E46" t="s">
        <v>178</v>
      </c>
      <c r="F46">
        <v>15</v>
      </c>
      <c r="G46" t="s">
        <v>27</v>
      </c>
      <c r="H46" t="s">
        <v>179</v>
      </c>
    </row>
    <row r="47" spans="1:8">
      <c r="A47" t="s">
        <v>180</v>
      </c>
      <c r="B47" t="s">
        <v>175</v>
      </c>
      <c r="C47" t="s">
        <v>181</v>
      </c>
      <c r="D47" t="s">
        <v>182</v>
      </c>
      <c r="E47" t="s">
        <v>178</v>
      </c>
      <c r="F47">
        <v>15</v>
      </c>
      <c r="G47" t="s">
        <v>27</v>
      </c>
      <c r="H47" t="s">
        <v>183</v>
      </c>
    </row>
    <row r="48" spans="1:8">
      <c r="A48" t="s">
        <v>184</v>
      </c>
      <c r="B48" t="s">
        <v>175</v>
      </c>
      <c r="C48" t="s">
        <v>185</v>
      </c>
      <c r="D48" t="s">
        <v>186</v>
      </c>
      <c r="E48" t="s">
        <v>35</v>
      </c>
      <c r="F48">
        <v>13</v>
      </c>
      <c r="G48" t="s">
        <v>27</v>
      </c>
      <c r="H48" t="s">
        <v>187</v>
      </c>
    </row>
    <row r="49" spans="1:8">
      <c r="A49" t="s">
        <v>188</v>
      </c>
      <c r="B49" t="s">
        <v>175</v>
      </c>
      <c r="C49" t="s">
        <v>189</v>
      </c>
      <c r="D49" t="s">
        <v>190</v>
      </c>
      <c r="E49" t="s">
        <v>35</v>
      </c>
      <c r="F49">
        <v>9</v>
      </c>
      <c r="G49" t="s">
        <v>27</v>
      </c>
      <c r="H49" t="s">
        <v>191</v>
      </c>
    </row>
    <row r="50" spans="1:8">
      <c r="A50" t="s">
        <v>192</v>
      </c>
      <c r="B50" t="s">
        <v>175</v>
      </c>
      <c r="C50" t="s">
        <v>193</v>
      </c>
      <c r="D50" t="s">
        <v>194</v>
      </c>
      <c r="E50" t="s">
        <v>178</v>
      </c>
      <c r="F50">
        <v>13</v>
      </c>
      <c r="G50" t="s">
        <v>27</v>
      </c>
      <c r="H50" t="s">
        <v>195</v>
      </c>
    </row>
    <row r="51" spans="1:8">
      <c r="A51" t="s">
        <v>196</v>
      </c>
      <c r="B51" t="s">
        <v>175</v>
      </c>
      <c r="C51" t="s">
        <v>197</v>
      </c>
      <c r="D51" t="s">
        <v>198</v>
      </c>
      <c r="E51" t="s">
        <v>35</v>
      </c>
      <c r="F51">
        <v>8</v>
      </c>
      <c r="G51" t="s">
        <v>27</v>
      </c>
      <c r="H51" t="s">
        <v>199</v>
      </c>
    </row>
    <row r="52" spans="1:8">
      <c r="A52" t="s">
        <v>200</v>
      </c>
      <c r="B52" t="s">
        <v>175</v>
      </c>
      <c r="C52" t="s">
        <v>201</v>
      </c>
      <c r="D52" t="s">
        <v>202</v>
      </c>
      <c r="E52" t="s">
        <v>35</v>
      </c>
      <c r="F52">
        <v>10</v>
      </c>
      <c r="G52" t="s">
        <v>27</v>
      </c>
      <c r="H52" t="s">
        <v>203</v>
      </c>
    </row>
    <row r="53" spans="1:8">
      <c r="A53" t="s">
        <v>204</v>
      </c>
      <c r="B53" t="s">
        <v>205</v>
      </c>
      <c r="C53" t="s">
        <v>206</v>
      </c>
      <c r="D53" t="s">
        <v>207</v>
      </c>
      <c r="E53" t="s">
        <v>208</v>
      </c>
      <c r="F53">
        <v>25</v>
      </c>
      <c r="G53" t="s">
        <v>27</v>
      </c>
      <c r="H53" t="s">
        <v>209</v>
      </c>
    </row>
    <row r="54" spans="1:8">
      <c r="A54" t="s">
        <v>210</v>
      </c>
      <c r="B54" t="s">
        <v>205</v>
      </c>
      <c r="C54" t="s">
        <v>211</v>
      </c>
      <c r="D54" t="s">
        <v>212</v>
      </c>
      <c r="E54" t="s">
        <v>178</v>
      </c>
      <c r="F54">
        <v>27</v>
      </c>
      <c r="G54" t="s">
        <v>27</v>
      </c>
      <c r="H54" t="s">
        <v>213</v>
      </c>
    </row>
    <row r="55" spans="1:8">
      <c r="A55" t="s">
        <v>214</v>
      </c>
      <c r="B55" t="s">
        <v>215</v>
      </c>
      <c r="C55" t="s">
        <v>216</v>
      </c>
      <c r="D55" t="s">
        <v>217</v>
      </c>
      <c r="E55" t="s">
        <v>178</v>
      </c>
      <c r="F55">
        <v>19</v>
      </c>
      <c r="G55" t="s">
        <v>27</v>
      </c>
      <c r="H55" t="s">
        <v>218</v>
      </c>
    </row>
    <row r="56" spans="1:8">
      <c r="A56" t="s">
        <v>219</v>
      </c>
      <c r="B56" t="s">
        <v>215</v>
      </c>
      <c r="C56" t="s">
        <v>220</v>
      </c>
      <c r="D56" t="s">
        <v>221</v>
      </c>
      <c r="E56" t="s">
        <v>178</v>
      </c>
      <c r="F56">
        <v>20</v>
      </c>
      <c r="G56" t="s">
        <v>27</v>
      </c>
      <c r="H56" t="s">
        <v>222</v>
      </c>
    </row>
    <row r="57" spans="1:8">
      <c r="A57" t="s">
        <v>223</v>
      </c>
      <c r="B57" t="s">
        <v>224</v>
      </c>
      <c r="C57" t="s">
        <v>225</v>
      </c>
      <c r="D57" t="s">
        <v>226</v>
      </c>
      <c r="E57" t="s">
        <v>178</v>
      </c>
      <c r="F57">
        <v>21</v>
      </c>
      <c r="G57" t="s">
        <v>27</v>
      </c>
      <c r="H57" t="s">
        <v>227</v>
      </c>
    </row>
    <row r="58" spans="1:8">
      <c r="A58" t="s">
        <v>228</v>
      </c>
      <c r="B58" t="s">
        <v>224</v>
      </c>
      <c r="C58" t="s">
        <v>229</v>
      </c>
      <c r="D58" t="s">
        <v>230</v>
      </c>
      <c r="E58" t="s">
        <v>178</v>
      </c>
      <c r="F58">
        <v>21</v>
      </c>
      <c r="G58" t="s">
        <v>27</v>
      </c>
      <c r="H58" t="s">
        <v>231</v>
      </c>
    </row>
    <row r="59" spans="1:8">
      <c r="A59" t="s">
        <v>232</v>
      </c>
      <c r="B59" t="s">
        <v>233</v>
      </c>
      <c r="C59" t="s">
        <v>234</v>
      </c>
      <c r="D59" t="s">
        <v>235</v>
      </c>
      <c r="E59" t="s">
        <v>35</v>
      </c>
      <c r="F59">
        <v>18</v>
      </c>
      <c r="G59" t="s">
        <v>27</v>
      </c>
      <c r="H59" t="s">
        <v>236</v>
      </c>
    </row>
    <row r="60" spans="1:8">
      <c r="A60" t="s">
        <v>237</v>
      </c>
      <c r="B60" t="s">
        <v>238</v>
      </c>
      <c r="C60" t="s">
        <v>239</v>
      </c>
      <c r="D60" t="s">
        <v>240</v>
      </c>
      <c r="E60" t="s">
        <v>35</v>
      </c>
      <c r="F60">
        <v>18</v>
      </c>
      <c r="G60" t="s">
        <v>27</v>
      </c>
      <c r="H60" t="s">
        <v>241</v>
      </c>
    </row>
    <row r="61" spans="1:8">
      <c r="A61" t="s">
        <v>242</v>
      </c>
      <c r="B61" t="s">
        <v>238</v>
      </c>
      <c r="C61" t="s">
        <v>243</v>
      </c>
      <c r="D61" t="s">
        <v>244</v>
      </c>
      <c r="E61" t="s">
        <v>178</v>
      </c>
      <c r="F61">
        <v>28</v>
      </c>
      <c r="G61" t="s">
        <v>27</v>
      </c>
      <c r="H61" t="s">
        <v>245</v>
      </c>
    </row>
    <row r="62" spans="1:8">
      <c r="A62" t="s">
        <v>246</v>
      </c>
      <c r="B62" t="s">
        <v>247</v>
      </c>
      <c r="C62" t="s">
        <v>248</v>
      </c>
      <c r="D62" t="s">
        <v>249</v>
      </c>
      <c r="E62" t="s">
        <v>35</v>
      </c>
      <c r="F62">
        <v>16</v>
      </c>
      <c r="G62" t="s">
        <v>27</v>
      </c>
      <c r="H62" t="s">
        <v>250</v>
      </c>
    </row>
    <row r="63" spans="1:8">
      <c r="A63" t="s">
        <v>251</v>
      </c>
      <c r="B63" t="s">
        <v>252</v>
      </c>
      <c r="C63" t="s">
        <v>253</v>
      </c>
      <c r="D63" t="s">
        <v>254</v>
      </c>
      <c r="E63" t="s">
        <v>35</v>
      </c>
      <c r="F63">
        <v>16</v>
      </c>
      <c r="G63" t="s">
        <v>27</v>
      </c>
      <c r="H63" t="s">
        <v>255</v>
      </c>
    </row>
    <row r="64" spans="1:8">
      <c r="A64" t="s">
        <v>256</v>
      </c>
      <c r="B64" t="s">
        <v>257</v>
      </c>
      <c r="C64" t="s">
        <v>258</v>
      </c>
      <c r="D64" t="s">
        <v>259</v>
      </c>
      <c r="E64" t="s">
        <v>35</v>
      </c>
      <c r="F64">
        <v>16</v>
      </c>
      <c r="G64" t="s">
        <v>27</v>
      </c>
      <c r="H64" t="s">
        <v>260</v>
      </c>
    </row>
    <row r="65" spans="1:8">
      <c r="A65" t="s">
        <v>261</v>
      </c>
      <c r="B65" t="s">
        <v>262</v>
      </c>
      <c r="C65" t="s">
        <v>263</v>
      </c>
      <c r="D65" t="s">
        <v>264</v>
      </c>
      <c r="E65" t="s">
        <v>35</v>
      </c>
      <c r="F65">
        <v>17</v>
      </c>
      <c r="G65" t="s">
        <v>27</v>
      </c>
      <c r="H65" t="s">
        <v>265</v>
      </c>
    </row>
    <row r="66" spans="1:8">
      <c r="A66" t="s">
        <v>266</v>
      </c>
      <c r="B66" t="s">
        <v>262</v>
      </c>
      <c r="C66" t="s">
        <v>267</v>
      </c>
      <c r="D66" t="s">
        <v>268</v>
      </c>
      <c r="E66" t="s">
        <v>178</v>
      </c>
      <c r="F66">
        <v>23</v>
      </c>
      <c r="G66" t="s">
        <v>27</v>
      </c>
      <c r="H66" t="s">
        <v>269</v>
      </c>
    </row>
    <row r="67" spans="1:8">
      <c r="A67" t="s">
        <v>270</v>
      </c>
      <c r="B67" t="s">
        <v>271</v>
      </c>
      <c r="C67" t="s">
        <v>272</v>
      </c>
      <c r="D67" t="s">
        <v>273</v>
      </c>
      <c r="E67" t="s">
        <v>178</v>
      </c>
      <c r="F67">
        <v>21</v>
      </c>
      <c r="G67" t="s">
        <v>27</v>
      </c>
      <c r="H67" t="s">
        <v>274</v>
      </c>
    </row>
    <row r="68" spans="1:8">
      <c r="A68" t="s">
        <v>275</v>
      </c>
      <c r="B68" t="s">
        <v>271</v>
      </c>
      <c r="C68" t="s">
        <v>276</v>
      </c>
      <c r="D68" t="s">
        <v>277</v>
      </c>
      <c r="E68" t="s">
        <v>178</v>
      </c>
      <c r="F68">
        <v>27</v>
      </c>
      <c r="G68" t="s">
        <v>27</v>
      </c>
      <c r="H68" t="s">
        <v>278</v>
      </c>
    </row>
    <row r="69" spans="1:8">
      <c r="A69" t="s">
        <v>279</v>
      </c>
      <c r="B69" t="s">
        <v>280</v>
      </c>
      <c r="C69" t="s">
        <v>281</v>
      </c>
      <c r="D69" t="s">
        <v>282</v>
      </c>
      <c r="E69" t="s">
        <v>178</v>
      </c>
      <c r="F69">
        <v>16</v>
      </c>
      <c r="G69" t="s">
        <v>27</v>
      </c>
      <c r="H69" t="s">
        <v>283</v>
      </c>
    </row>
    <row r="70" spans="1:8">
      <c r="A70" t="s">
        <v>284</v>
      </c>
      <c r="B70" t="s">
        <v>285</v>
      </c>
      <c r="C70" t="s">
        <v>286</v>
      </c>
      <c r="D70" t="s">
        <v>287</v>
      </c>
      <c r="E70" t="s">
        <v>35</v>
      </c>
      <c r="F70">
        <v>6</v>
      </c>
      <c r="G70" t="s">
        <v>27</v>
      </c>
      <c r="H70" t="s">
        <v>288</v>
      </c>
    </row>
    <row r="71" spans="1:8">
      <c r="A71" t="s">
        <v>289</v>
      </c>
      <c r="B71" t="s">
        <v>285</v>
      </c>
      <c r="C71" t="s">
        <v>290</v>
      </c>
      <c r="D71" t="s">
        <v>291</v>
      </c>
      <c r="E71" t="s">
        <v>35</v>
      </c>
      <c r="F71">
        <v>6</v>
      </c>
      <c r="G71" t="s">
        <v>27</v>
      </c>
      <c r="H71" t="s">
        <v>292</v>
      </c>
    </row>
  </sheetData>
  <pageMargins left="0.75" right="0.75" top="1" bottom="1" header="0.511811023622047" footer="0.511811023622047"/>
  <headerFooter/>
  <ignoredErrors>
    <ignoredError sqref="A1:H71" numberStoredAsText="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2"/>
  <sheetViews>
    <sheetView workbookViewId="0">
      <selection activeCell="A1" sqref="A1"/>
    </sheetView>
  </sheetViews>
  <sheetFormatPr defaultColWidth="9" defaultRowHeight="15.6"/>
  <sheetData>
    <row r="1" spans="1:13">
      <c r="A1" t="s">
        <v>293</v>
      </c>
      <c r="B1" t="s">
        <v>15</v>
      </c>
      <c r="C1" t="s">
        <v>294</v>
      </c>
      <c r="D1" t="s">
        <v>14</v>
      </c>
      <c r="E1" t="s">
        <v>295</v>
      </c>
      <c r="F1" t="s">
        <v>19</v>
      </c>
      <c r="G1" t="s">
        <v>296</v>
      </c>
      <c r="H1" t="s">
        <v>297</v>
      </c>
      <c r="I1" t="s">
        <v>298</v>
      </c>
      <c r="J1" t="s">
        <v>299</v>
      </c>
      <c r="K1" t="s">
        <v>300</v>
      </c>
      <c r="L1" t="s">
        <v>20</v>
      </c>
      <c r="M1" t="s">
        <v>301</v>
      </c>
    </row>
    <row r="2" spans="1:13">
      <c r="A2" t="s">
        <v>302</v>
      </c>
      <c r="B2" t="s">
        <v>23</v>
      </c>
      <c r="C2" t="s">
        <v>24</v>
      </c>
      <c r="D2" t="s">
        <v>22</v>
      </c>
      <c r="E2" t="s">
        <v>303</v>
      </c>
      <c r="F2">
        <v>8</v>
      </c>
      <c r="G2">
        <f>COUNTIFS('Login and Store Sync'!$C:$C,$C2,'Login and Store Sync'!$A:$A,"&lt;&gt;",'Login and Store Sync'!$N:$N,"&lt;&gt;")</f>
        <v>5</v>
      </c>
      <c r="H2">
        <f>COUNTIFS('Login and Store Sync'!$C:$C,$C2,'Login and Store Sync'!$N:$N,"Pass")</f>
        <v>0</v>
      </c>
      <c r="I2">
        <f>COUNTIFS('Login and Store Sync'!$C:$C,$C2,'Login and Store Sync'!$N:$N,"Fail")</f>
        <v>0</v>
      </c>
      <c r="J2">
        <f t="shared" ref="J2:J65" si="0">$F2-$G2</f>
        <v>3</v>
      </c>
      <c r="K2">
        <f t="shared" ref="K2:K65" si="1">IFERROR($G2/$F2,0)</f>
        <v>0.625</v>
      </c>
      <c r="L2" t="s">
        <v>27</v>
      </c>
      <c r="M2" t="str">
        <f t="shared" ref="M2:M65" si="2">IF($G2=0,"Not Started",IF($G2&lt;$F2,"In Progress",IF($I2&gt;0,"Completed - Issues Found","Completed - All Passed")))</f>
        <v>In Progress</v>
      </c>
    </row>
    <row r="3" spans="1:13">
      <c r="A3" t="s">
        <v>304</v>
      </c>
      <c r="B3" t="s">
        <v>23</v>
      </c>
      <c r="C3" t="s">
        <v>29</v>
      </c>
      <c r="D3" t="s">
        <v>28</v>
      </c>
      <c r="E3" t="s">
        <v>305</v>
      </c>
      <c r="F3">
        <v>23</v>
      </c>
      <c r="G3">
        <f>COUNTIFS('Login and Store Sync'!$C:$C,$C3,'Login and Store Sync'!$A:$A,"&lt;&gt;",'Login and Store Sync'!$N:$N,"&lt;&gt;")</f>
        <v>0</v>
      </c>
      <c r="H3">
        <f>COUNTIFS('Login and Store Sync'!$C:$C,$C3,'Login and Store Sync'!$N:$N,"Pass")</f>
        <v>0</v>
      </c>
      <c r="I3">
        <f>COUNTIFS('Login and Store Sync'!$C:$C,$C3,'Login and Store Sync'!$N:$N,"Fail")</f>
        <v>0</v>
      </c>
      <c r="J3">
        <f t="shared" si="0"/>
        <v>23</v>
      </c>
      <c r="K3">
        <f t="shared" si="1"/>
        <v>0</v>
      </c>
      <c r="L3" t="s">
        <v>27</v>
      </c>
      <c r="M3" t="str">
        <f t="shared" si="2"/>
        <v>Not Started</v>
      </c>
    </row>
    <row r="4" spans="1:13">
      <c r="A4" t="s">
        <v>306</v>
      </c>
      <c r="B4" t="s">
        <v>23</v>
      </c>
      <c r="C4" t="s">
        <v>33</v>
      </c>
      <c r="D4" t="s">
        <v>32</v>
      </c>
      <c r="E4" t="s">
        <v>307</v>
      </c>
      <c r="F4">
        <v>23</v>
      </c>
      <c r="G4">
        <f>COUNTIFS('Login and Store Sync'!$C:$C,$C4,'Login and Store Sync'!$A:$A,"&lt;&gt;",'Login and Store Sync'!$N:$N,"&lt;&gt;")</f>
        <v>10</v>
      </c>
      <c r="H4">
        <f>COUNTIFS('Login and Store Sync'!$C:$C,$C4,'Login and Store Sync'!$N:$N,"Pass")</f>
        <v>0</v>
      </c>
      <c r="I4">
        <f>COUNTIFS('Login and Store Sync'!$C:$C,$C4,'Login and Store Sync'!$N:$N,"Fail")</f>
        <v>0</v>
      </c>
      <c r="J4">
        <f t="shared" si="0"/>
        <v>13</v>
      </c>
      <c r="K4">
        <f t="shared" si="1"/>
        <v>0.434782608695652</v>
      </c>
      <c r="L4" t="s">
        <v>27</v>
      </c>
      <c r="M4" t="str">
        <f t="shared" si="2"/>
        <v>In Progress</v>
      </c>
    </row>
    <row r="5" spans="1:13">
      <c r="A5" t="s">
        <v>308</v>
      </c>
      <c r="B5" t="s">
        <v>23</v>
      </c>
      <c r="C5" t="s">
        <v>37</v>
      </c>
      <c r="D5" t="s">
        <v>36</v>
      </c>
      <c r="E5" t="s">
        <v>309</v>
      </c>
      <c r="F5">
        <v>5</v>
      </c>
      <c r="G5">
        <f>COUNTIFS('Login and Store Sync'!$C:$C,$C5,'Login and Store Sync'!$A:$A,"&lt;&gt;",'Login and Store Sync'!$N:$N,"&lt;&gt;")</f>
        <v>1</v>
      </c>
      <c r="H5">
        <f>COUNTIFS('Login and Store Sync'!$C:$C,$C5,'Login and Store Sync'!$N:$N,"Pass")</f>
        <v>0</v>
      </c>
      <c r="I5">
        <f>COUNTIFS('Login and Store Sync'!$C:$C,$C5,'Login and Store Sync'!$N:$N,"Fail")</f>
        <v>0</v>
      </c>
      <c r="J5">
        <f t="shared" si="0"/>
        <v>4</v>
      </c>
      <c r="K5">
        <f t="shared" si="1"/>
        <v>0.2</v>
      </c>
      <c r="L5" t="s">
        <v>27</v>
      </c>
      <c r="M5" t="str">
        <f t="shared" si="2"/>
        <v>In Progress</v>
      </c>
    </row>
    <row r="6" spans="1:13">
      <c r="A6" t="s">
        <v>310</v>
      </c>
      <c r="B6" t="s">
        <v>23</v>
      </c>
      <c r="C6" t="s">
        <v>40</v>
      </c>
      <c r="D6" t="s">
        <v>39</v>
      </c>
      <c r="E6" t="s">
        <v>311</v>
      </c>
      <c r="F6">
        <v>5</v>
      </c>
      <c r="G6">
        <f>COUNTIFS('Login and Store Sync'!$C:$C,$C6,'Login and Store Sync'!$A:$A,"&lt;&gt;",'Login and Store Sync'!$N:$N,"&lt;&gt;")</f>
        <v>0</v>
      </c>
      <c r="H6">
        <f>COUNTIFS('Login and Store Sync'!$C:$C,$C6,'Login and Store Sync'!$N:$N,"Pass")</f>
        <v>0</v>
      </c>
      <c r="I6">
        <f>COUNTIFS('Login and Store Sync'!$C:$C,$C6,'Login and Store Sync'!$N:$N,"Fail")</f>
        <v>0</v>
      </c>
      <c r="J6">
        <f t="shared" si="0"/>
        <v>5</v>
      </c>
      <c r="K6">
        <f t="shared" si="1"/>
        <v>0</v>
      </c>
      <c r="L6" t="s">
        <v>42</v>
      </c>
      <c r="M6" t="str">
        <f t="shared" si="2"/>
        <v>Not Started</v>
      </c>
    </row>
    <row r="7" spans="1:13">
      <c r="A7" t="s">
        <v>312</v>
      </c>
      <c r="B7" t="s">
        <v>44</v>
      </c>
      <c r="C7" t="s">
        <v>45</v>
      </c>
      <c r="D7" t="s">
        <v>43</v>
      </c>
      <c r="E7" t="s">
        <v>313</v>
      </c>
      <c r="F7">
        <v>8</v>
      </c>
      <c r="G7">
        <f>COUNTIFS('Login and Store Sync'!$C:$C,$C7,'Login and Store Sync'!$A:$A,"&lt;&gt;",'Login and Store Sync'!$N:$N,"&lt;&gt;")</f>
        <v>0</v>
      </c>
      <c r="H7">
        <f>COUNTIFS('Login and Store Sync'!$C:$C,$C7,'Login and Store Sync'!$N:$N,"Pass")</f>
        <v>0</v>
      </c>
      <c r="I7">
        <f>COUNTIFS('Login and Store Sync'!$C:$C,$C7,'Login and Store Sync'!$N:$N,"Fail")</f>
        <v>0</v>
      </c>
      <c r="J7">
        <f t="shared" si="0"/>
        <v>8</v>
      </c>
      <c r="K7">
        <f t="shared" si="1"/>
        <v>0</v>
      </c>
      <c r="L7" t="s">
        <v>27</v>
      </c>
      <c r="M7" t="str">
        <f t="shared" si="2"/>
        <v>Not Started</v>
      </c>
    </row>
    <row r="8" spans="1:13">
      <c r="A8" t="s">
        <v>314</v>
      </c>
      <c r="B8" t="s">
        <v>44</v>
      </c>
      <c r="C8" t="s">
        <v>48</v>
      </c>
      <c r="D8" t="s">
        <v>47</v>
      </c>
      <c r="E8" t="s">
        <v>315</v>
      </c>
      <c r="F8">
        <v>8</v>
      </c>
      <c r="G8">
        <f>COUNTIFS('Login and Store Sync'!$C:$C,$C8,'Login and Store Sync'!$A:$A,"&lt;&gt;",'Login and Store Sync'!$N:$N,"&lt;&gt;")</f>
        <v>0</v>
      </c>
      <c r="H8">
        <f>COUNTIFS('Login and Store Sync'!$C:$C,$C8,'Login and Store Sync'!$N:$N,"Pass")</f>
        <v>0</v>
      </c>
      <c r="I8">
        <f>COUNTIFS('Login and Store Sync'!$C:$C,$C8,'Login and Store Sync'!$N:$N,"Fail")</f>
        <v>0</v>
      </c>
      <c r="J8">
        <f t="shared" si="0"/>
        <v>8</v>
      </c>
      <c r="K8">
        <f t="shared" si="1"/>
        <v>0</v>
      </c>
      <c r="L8" t="s">
        <v>27</v>
      </c>
      <c r="M8" t="str">
        <f t="shared" si="2"/>
        <v>Not Started</v>
      </c>
    </row>
    <row r="9" spans="1:13">
      <c r="A9" t="s">
        <v>316</v>
      </c>
      <c r="B9" t="s">
        <v>44</v>
      </c>
      <c r="C9" t="s">
        <v>52</v>
      </c>
      <c r="D9" t="s">
        <v>51</v>
      </c>
      <c r="E9" t="s">
        <v>317</v>
      </c>
      <c r="F9">
        <v>6</v>
      </c>
      <c r="G9">
        <f>COUNTIFS('Login and Store Sync'!$C:$C,$C9,'Login and Store Sync'!$A:$A,"&lt;&gt;",'Login and Store Sync'!$N:$N,"&lt;&gt;")</f>
        <v>0</v>
      </c>
      <c r="H9">
        <f>COUNTIFS('Login and Store Sync'!$C:$C,$C9,'Login and Store Sync'!$N:$N,"Pass")</f>
        <v>0</v>
      </c>
      <c r="I9">
        <f>COUNTIFS('Login and Store Sync'!$C:$C,$C9,'Login and Store Sync'!$N:$N,"Fail")</f>
        <v>0</v>
      </c>
      <c r="J9">
        <f t="shared" si="0"/>
        <v>6</v>
      </c>
      <c r="K9">
        <f t="shared" si="1"/>
        <v>0</v>
      </c>
      <c r="L9" t="s">
        <v>27</v>
      </c>
      <c r="M9" t="str">
        <f t="shared" si="2"/>
        <v>Not Started</v>
      </c>
    </row>
    <row r="10" spans="1:13">
      <c r="A10" t="s">
        <v>318</v>
      </c>
      <c r="B10" t="s">
        <v>55</v>
      </c>
      <c r="C10" t="s">
        <v>56</v>
      </c>
      <c r="D10" t="s">
        <v>54</v>
      </c>
      <c r="E10" t="s">
        <v>319</v>
      </c>
      <c r="F10">
        <v>8</v>
      </c>
      <c r="G10">
        <f>COUNTIFS('Login and Store Sync'!$C:$C,$C10,'Login and Store Sync'!$A:$A,"&lt;&gt;",'Login and Store Sync'!$N:$N,"&lt;&gt;")</f>
        <v>0</v>
      </c>
      <c r="H10">
        <f>COUNTIFS('Login and Store Sync'!$C:$C,$C10,'Login and Store Sync'!$N:$N,"Pass")</f>
        <v>0</v>
      </c>
      <c r="I10">
        <f>COUNTIFS('Login and Store Sync'!$C:$C,$C10,'Login and Store Sync'!$N:$N,"Fail")</f>
        <v>0</v>
      </c>
      <c r="J10">
        <f t="shared" si="0"/>
        <v>8</v>
      </c>
      <c r="K10">
        <f t="shared" si="1"/>
        <v>0</v>
      </c>
      <c r="L10" t="s">
        <v>27</v>
      </c>
      <c r="M10" t="str">
        <f t="shared" si="2"/>
        <v>Not Started</v>
      </c>
    </row>
    <row r="11" spans="1:13">
      <c r="A11" t="s">
        <v>320</v>
      </c>
      <c r="B11" t="s">
        <v>59</v>
      </c>
      <c r="C11" t="s">
        <v>60</v>
      </c>
      <c r="D11" t="s">
        <v>58</v>
      </c>
      <c r="E11" t="s">
        <v>321</v>
      </c>
      <c r="F11">
        <v>6</v>
      </c>
      <c r="G11">
        <f>COUNTIFS('Login and Store Sync'!$C:$C,$C11,'Login and Store Sync'!$A:$A,"&lt;&gt;",'Login and Store Sync'!$N:$N,"&lt;&gt;")</f>
        <v>0</v>
      </c>
      <c r="H11">
        <f>COUNTIFS('Login and Store Sync'!$C:$C,$C11,'Login and Store Sync'!$N:$N,"Pass")</f>
        <v>0</v>
      </c>
      <c r="I11">
        <f>COUNTIFS('Login and Store Sync'!$C:$C,$C11,'Login and Store Sync'!$N:$N,"Fail")</f>
        <v>0</v>
      </c>
      <c r="J11">
        <f t="shared" si="0"/>
        <v>6</v>
      </c>
      <c r="K11">
        <f t="shared" si="1"/>
        <v>0</v>
      </c>
      <c r="L11" t="s">
        <v>27</v>
      </c>
      <c r="M11" t="str">
        <f t="shared" si="2"/>
        <v>Not Started</v>
      </c>
    </row>
    <row r="12" spans="1:13">
      <c r="A12" t="s">
        <v>322</v>
      </c>
      <c r="B12" t="s">
        <v>59</v>
      </c>
      <c r="C12" t="s">
        <v>64</v>
      </c>
      <c r="D12" t="s">
        <v>63</v>
      </c>
      <c r="E12" t="s">
        <v>323</v>
      </c>
      <c r="F12">
        <v>2</v>
      </c>
      <c r="G12">
        <f>COUNTIFS('Login and Store Sync'!$C:$C,$C12,'Login and Store Sync'!$A:$A,"&lt;&gt;",'Login and Store Sync'!$N:$N,"&lt;&gt;")</f>
        <v>0</v>
      </c>
      <c r="H12">
        <f>COUNTIFS('Login and Store Sync'!$C:$C,$C12,'Login and Store Sync'!$N:$N,"Pass")</f>
        <v>0</v>
      </c>
      <c r="I12">
        <f>COUNTIFS('Login and Store Sync'!$C:$C,$C12,'Login and Store Sync'!$N:$N,"Fail")</f>
        <v>0</v>
      </c>
      <c r="J12">
        <f t="shared" si="0"/>
        <v>2</v>
      </c>
      <c r="K12">
        <f t="shared" si="1"/>
        <v>0</v>
      </c>
      <c r="L12" t="s">
        <v>27</v>
      </c>
      <c r="M12" t="str">
        <f t="shared" si="2"/>
        <v>Not Started</v>
      </c>
    </row>
    <row r="13" spans="1:13">
      <c r="A13" t="s">
        <v>324</v>
      </c>
      <c r="B13" t="s">
        <v>59</v>
      </c>
      <c r="C13" t="s">
        <v>67</v>
      </c>
      <c r="D13" t="s">
        <v>66</v>
      </c>
      <c r="E13" t="s">
        <v>325</v>
      </c>
      <c r="F13">
        <v>1</v>
      </c>
      <c r="G13">
        <f>COUNTIFS('Login and Store Sync'!$C:$C,$C13,'Login and Store Sync'!$A:$A,"&lt;&gt;",'Login and Store Sync'!$N:$N,"&lt;&gt;")</f>
        <v>0</v>
      </c>
      <c r="H13">
        <f>COUNTIFS('Login and Store Sync'!$C:$C,$C13,'Login and Store Sync'!$N:$N,"Pass")</f>
        <v>0</v>
      </c>
      <c r="I13">
        <f>COUNTIFS('Login and Store Sync'!$C:$C,$C13,'Login and Store Sync'!$N:$N,"Fail")</f>
        <v>0</v>
      </c>
      <c r="J13">
        <f t="shared" si="0"/>
        <v>1</v>
      </c>
      <c r="K13">
        <f t="shared" si="1"/>
        <v>0</v>
      </c>
      <c r="L13" t="s">
        <v>42</v>
      </c>
      <c r="M13" t="str">
        <f t="shared" si="2"/>
        <v>Not Started</v>
      </c>
    </row>
    <row r="14" spans="1:13">
      <c r="A14" t="s">
        <v>326</v>
      </c>
      <c r="B14" t="s">
        <v>59</v>
      </c>
      <c r="C14" t="s">
        <v>70</v>
      </c>
      <c r="D14" t="s">
        <v>69</v>
      </c>
      <c r="E14" t="s">
        <v>327</v>
      </c>
      <c r="F14">
        <v>1</v>
      </c>
      <c r="G14">
        <f>COUNTIFS('Login and Store Sync'!$C:$C,$C14,'Login and Store Sync'!$A:$A,"&lt;&gt;",'Login and Store Sync'!$N:$N,"&lt;&gt;")</f>
        <v>0</v>
      </c>
      <c r="H14">
        <f>COUNTIFS('Login and Store Sync'!$C:$C,$C14,'Login and Store Sync'!$N:$N,"Pass")</f>
        <v>0</v>
      </c>
      <c r="I14">
        <f>COUNTIFS('Login and Store Sync'!$C:$C,$C14,'Login and Store Sync'!$N:$N,"Fail")</f>
        <v>0</v>
      </c>
      <c r="J14">
        <f t="shared" si="0"/>
        <v>1</v>
      </c>
      <c r="K14">
        <f t="shared" si="1"/>
        <v>0</v>
      </c>
      <c r="L14" t="s">
        <v>42</v>
      </c>
      <c r="M14" t="str">
        <f t="shared" si="2"/>
        <v>Not Started</v>
      </c>
    </row>
    <row r="15" spans="1:13">
      <c r="A15" t="s">
        <v>328</v>
      </c>
      <c r="B15" t="s">
        <v>59</v>
      </c>
      <c r="C15" t="s">
        <v>73</v>
      </c>
      <c r="D15" t="s">
        <v>72</v>
      </c>
      <c r="E15" t="s">
        <v>329</v>
      </c>
      <c r="F15">
        <v>4</v>
      </c>
      <c r="G15">
        <f>COUNTIFS('Login and Store Sync'!$C:$C,$C15,'Login and Store Sync'!$A:$A,"&lt;&gt;",'Login and Store Sync'!$N:$N,"&lt;&gt;")</f>
        <v>0</v>
      </c>
      <c r="H15">
        <f>COUNTIFS('Login and Store Sync'!$C:$C,$C15,'Login and Store Sync'!$N:$N,"Pass")</f>
        <v>0</v>
      </c>
      <c r="I15">
        <f>COUNTIFS('Login and Store Sync'!$C:$C,$C15,'Login and Store Sync'!$N:$N,"Fail")</f>
        <v>0</v>
      </c>
      <c r="J15">
        <f t="shared" si="0"/>
        <v>4</v>
      </c>
      <c r="K15">
        <f t="shared" si="1"/>
        <v>0</v>
      </c>
      <c r="L15" t="s">
        <v>27</v>
      </c>
      <c r="M15" t="str">
        <f t="shared" si="2"/>
        <v>Not Started</v>
      </c>
    </row>
    <row r="16" spans="1:13">
      <c r="A16" t="s">
        <v>330</v>
      </c>
      <c r="B16" t="s">
        <v>77</v>
      </c>
      <c r="C16" t="s">
        <v>78</v>
      </c>
      <c r="D16" t="s">
        <v>76</v>
      </c>
      <c r="E16" t="s">
        <v>331</v>
      </c>
      <c r="F16">
        <v>8</v>
      </c>
      <c r="G16">
        <f>COUNTIFS('Login and Store Sync'!$C:$C,$C16,'Login and Store Sync'!$A:$A,"&lt;&gt;",'Login and Store Sync'!$N:$N,"&lt;&gt;")</f>
        <v>0</v>
      </c>
      <c r="H16">
        <f>COUNTIFS('Login and Store Sync'!$C:$C,$C16,'Login and Store Sync'!$N:$N,"Pass")</f>
        <v>0</v>
      </c>
      <c r="I16">
        <f>COUNTIFS('Login and Store Sync'!$C:$C,$C16,'Login and Store Sync'!$N:$N,"Fail")</f>
        <v>0</v>
      </c>
      <c r="J16">
        <f t="shared" si="0"/>
        <v>8</v>
      </c>
      <c r="K16">
        <f t="shared" si="1"/>
        <v>0</v>
      </c>
      <c r="L16" t="s">
        <v>27</v>
      </c>
      <c r="M16" t="str">
        <f t="shared" si="2"/>
        <v>Not Started</v>
      </c>
    </row>
    <row r="17" spans="1:13">
      <c r="A17" t="s">
        <v>332</v>
      </c>
      <c r="B17" t="s">
        <v>81</v>
      </c>
      <c r="C17" t="s">
        <v>82</v>
      </c>
      <c r="D17" t="s">
        <v>80</v>
      </c>
      <c r="E17" t="s">
        <v>333</v>
      </c>
      <c r="F17">
        <v>8</v>
      </c>
      <c r="G17">
        <f>COUNTIFS('Login and Store Sync'!$C:$C,$C17,'Login and Store Sync'!$A:$A,"&lt;&gt;",'Login and Store Sync'!$N:$N,"&lt;&gt;")</f>
        <v>0</v>
      </c>
      <c r="H17">
        <f>COUNTIFS('Login and Store Sync'!$C:$C,$C17,'Login and Store Sync'!$N:$N,"Pass")</f>
        <v>0</v>
      </c>
      <c r="I17">
        <f>COUNTIFS('Login and Store Sync'!$C:$C,$C17,'Login and Store Sync'!$N:$N,"Fail")</f>
        <v>0</v>
      </c>
      <c r="J17">
        <f t="shared" si="0"/>
        <v>8</v>
      </c>
      <c r="K17">
        <f t="shared" si="1"/>
        <v>0</v>
      </c>
      <c r="L17" t="s">
        <v>27</v>
      </c>
      <c r="M17" t="str">
        <f t="shared" si="2"/>
        <v>Not Started</v>
      </c>
    </row>
    <row r="18" spans="1:13">
      <c r="A18" t="s">
        <v>334</v>
      </c>
      <c r="B18" t="s">
        <v>23</v>
      </c>
      <c r="C18" t="s">
        <v>85</v>
      </c>
      <c r="D18" t="s">
        <v>84</v>
      </c>
      <c r="E18" t="s">
        <v>335</v>
      </c>
      <c r="F18">
        <v>6</v>
      </c>
      <c r="H18">
        <f>COUNTIFS('Login and Store Sync'!$C:$C,$C18,'Login and Store Sync'!$N:$N,"Pass")</f>
        <v>0</v>
      </c>
      <c r="I18">
        <f>COUNTIFS('Login and Store Sync'!$C:$C,$C18,'Login and Store Sync'!$N:$N,"Fail")</f>
        <v>0</v>
      </c>
      <c r="J18">
        <f t="shared" si="0"/>
        <v>6</v>
      </c>
      <c r="K18">
        <f t="shared" si="1"/>
        <v>0</v>
      </c>
      <c r="L18" t="s">
        <v>27</v>
      </c>
      <c r="M18" t="str">
        <f t="shared" si="2"/>
        <v>Not Started</v>
      </c>
    </row>
    <row r="19" spans="1:13">
      <c r="A19" t="s">
        <v>336</v>
      </c>
      <c r="B19" t="s">
        <v>23</v>
      </c>
      <c r="C19" t="s">
        <v>88</v>
      </c>
      <c r="D19" t="s">
        <v>87</v>
      </c>
      <c r="E19" t="s">
        <v>337</v>
      </c>
      <c r="F19">
        <v>9</v>
      </c>
      <c r="G19">
        <f>COUNTIFS('Login and Store Sync'!$C:$C,$C19,'Login and Store Sync'!$A:$A,"&lt;&gt;",'Login and Store Sync'!$N:$N,"&lt;&gt;")</f>
        <v>6</v>
      </c>
      <c r="H19">
        <f>COUNTIFS('Login and Store Sync'!$C:$C,$C19,'Login and Store Sync'!$N:$N,"Pass")</f>
        <v>0</v>
      </c>
      <c r="I19">
        <f>COUNTIFS('Login and Store Sync'!$C:$C,$C19,'Login and Store Sync'!$N:$N,"Fail")</f>
        <v>0</v>
      </c>
      <c r="J19">
        <f t="shared" si="0"/>
        <v>3</v>
      </c>
      <c r="K19">
        <f t="shared" si="1"/>
        <v>0.666666666666667</v>
      </c>
      <c r="L19" t="s">
        <v>27</v>
      </c>
      <c r="M19" t="str">
        <f t="shared" si="2"/>
        <v>In Progress</v>
      </c>
    </row>
    <row r="20" spans="1:13">
      <c r="A20" t="s">
        <v>338</v>
      </c>
      <c r="B20" t="s">
        <v>92</v>
      </c>
      <c r="C20" t="s">
        <v>93</v>
      </c>
      <c r="D20" t="s">
        <v>91</v>
      </c>
      <c r="E20" t="s">
        <v>339</v>
      </c>
      <c r="F20">
        <v>12</v>
      </c>
      <c r="G20">
        <f>COUNTIFS('Customer Dashboard'!$C:$C,$C20,'Customer Dashboard'!$A:$A,"&lt;&gt;",'Customer Dashboard'!$K:$K,"&lt;&gt;")</f>
        <v>0</v>
      </c>
      <c r="H20">
        <f>COUNTIFS('Customer Dashboard'!$C:$C,$C20,'Customer Dashboard'!$K:$K,"Pass")</f>
        <v>0</v>
      </c>
      <c r="I20">
        <f>COUNTIFS('Customer Dashboard'!$C:$C,$C20,'Customer Dashboard'!$K:$K,"Fail")</f>
        <v>0</v>
      </c>
      <c r="J20">
        <f t="shared" si="0"/>
        <v>12</v>
      </c>
      <c r="K20">
        <f t="shared" si="1"/>
        <v>0</v>
      </c>
      <c r="L20" t="s">
        <v>27</v>
      </c>
      <c r="M20" t="str">
        <f t="shared" si="2"/>
        <v>Not Started</v>
      </c>
    </row>
    <row r="21" spans="1:13">
      <c r="A21" t="s">
        <v>340</v>
      </c>
      <c r="B21" t="s">
        <v>92</v>
      </c>
      <c r="C21" t="s">
        <v>96</v>
      </c>
      <c r="D21" t="s">
        <v>95</v>
      </c>
      <c r="E21" t="s">
        <v>341</v>
      </c>
      <c r="F21">
        <v>5</v>
      </c>
      <c r="G21">
        <f>COUNTIFS('Customer Dashboard'!$C:$C,$C21,'Customer Dashboard'!$A:$A,"&lt;&gt;",'Customer Dashboard'!$K:$K,"&lt;&gt;")</f>
        <v>0</v>
      </c>
      <c r="H21">
        <f>COUNTIFS('Customer Dashboard'!$C:$C,$C21,'Customer Dashboard'!$K:$K,"Pass")</f>
        <v>0</v>
      </c>
      <c r="I21">
        <f>COUNTIFS('Customer Dashboard'!$C:$C,$C21,'Customer Dashboard'!$K:$K,"Fail")</f>
        <v>0</v>
      </c>
      <c r="J21">
        <f t="shared" si="0"/>
        <v>5</v>
      </c>
      <c r="K21">
        <f t="shared" si="1"/>
        <v>0</v>
      </c>
      <c r="L21" t="s">
        <v>27</v>
      </c>
      <c r="M21" t="str">
        <f t="shared" si="2"/>
        <v>Not Started</v>
      </c>
    </row>
    <row r="22" spans="1:13">
      <c r="A22" t="s">
        <v>342</v>
      </c>
      <c r="B22" t="s">
        <v>92</v>
      </c>
      <c r="C22" t="s">
        <v>99</v>
      </c>
      <c r="D22" t="s">
        <v>98</v>
      </c>
      <c r="E22" t="s">
        <v>343</v>
      </c>
      <c r="F22">
        <v>5</v>
      </c>
      <c r="G22">
        <f>COUNTIFS('Customer Dashboard'!$C:$C,$C22,'Customer Dashboard'!$A:$A,"&lt;&gt;",'Customer Dashboard'!$K:$K,"&lt;&gt;")</f>
        <v>0</v>
      </c>
      <c r="H22">
        <f>COUNTIFS('Customer Dashboard'!$C:$C,$C22,'Customer Dashboard'!$K:$K,"Pass")</f>
        <v>0</v>
      </c>
      <c r="I22">
        <f>COUNTIFS('Customer Dashboard'!$C:$C,$C22,'Customer Dashboard'!$K:$K,"Fail")</f>
        <v>0</v>
      </c>
      <c r="J22">
        <f t="shared" si="0"/>
        <v>5</v>
      </c>
      <c r="K22">
        <f t="shared" si="1"/>
        <v>0</v>
      </c>
      <c r="L22" t="s">
        <v>27</v>
      </c>
      <c r="M22" t="str">
        <f t="shared" si="2"/>
        <v>Not Started</v>
      </c>
    </row>
    <row r="23" spans="1:13">
      <c r="A23" t="s">
        <v>344</v>
      </c>
      <c r="B23" t="s">
        <v>92</v>
      </c>
      <c r="C23" t="s">
        <v>102</v>
      </c>
      <c r="D23" t="s">
        <v>101</v>
      </c>
      <c r="E23" t="s">
        <v>345</v>
      </c>
      <c r="F23">
        <v>6</v>
      </c>
      <c r="G23">
        <f>COUNTIFS('Customer Dashboard'!$C:$C,$C23,'Customer Dashboard'!$A:$A,"&lt;&gt;",'Customer Dashboard'!$K:$K,"&lt;&gt;")</f>
        <v>0</v>
      </c>
      <c r="H23">
        <f>COUNTIFS('Customer Dashboard'!$C:$C,$C23,'Customer Dashboard'!$K:$K,"Pass")</f>
        <v>0</v>
      </c>
      <c r="I23">
        <f>COUNTIFS('Customer Dashboard'!$C:$C,$C23,'Customer Dashboard'!$K:$K,"Fail")</f>
        <v>0</v>
      </c>
      <c r="J23">
        <f t="shared" si="0"/>
        <v>6</v>
      </c>
      <c r="K23">
        <f t="shared" si="1"/>
        <v>0</v>
      </c>
      <c r="L23" t="s">
        <v>27</v>
      </c>
      <c r="M23" t="str">
        <f t="shared" si="2"/>
        <v>Not Started</v>
      </c>
    </row>
    <row r="24" spans="1:13">
      <c r="A24" t="s">
        <v>346</v>
      </c>
      <c r="B24" t="s">
        <v>92</v>
      </c>
      <c r="C24" t="s">
        <v>105</v>
      </c>
      <c r="D24" t="s">
        <v>104</v>
      </c>
      <c r="E24" t="s">
        <v>347</v>
      </c>
      <c r="F24">
        <v>6</v>
      </c>
      <c r="G24">
        <f>COUNTIFS('Customer Dashboard'!$C:$C,$C24,'Customer Dashboard'!$A:$A,"&lt;&gt;",'Customer Dashboard'!$K:$K,"&lt;&gt;")</f>
        <v>0</v>
      </c>
      <c r="H24">
        <f>COUNTIFS('Customer Dashboard'!$C:$C,$C24,'Customer Dashboard'!$K:$K,"Pass")</f>
        <v>0</v>
      </c>
      <c r="I24">
        <f>COUNTIFS('Customer Dashboard'!$C:$C,$C24,'Customer Dashboard'!$K:$K,"Fail")</f>
        <v>0</v>
      </c>
      <c r="J24">
        <f t="shared" si="0"/>
        <v>6</v>
      </c>
      <c r="K24">
        <f t="shared" si="1"/>
        <v>0</v>
      </c>
      <c r="L24" t="s">
        <v>27</v>
      </c>
      <c r="M24" t="str">
        <f t="shared" si="2"/>
        <v>Not Started</v>
      </c>
    </row>
    <row r="25" spans="1:13">
      <c r="A25" t="s">
        <v>348</v>
      </c>
      <c r="B25" t="s">
        <v>92</v>
      </c>
      <c r="C25" t="s">
        <v>108</v>
      </c>
      <c r="D25" t="s">
        <v>107</v>
      </c>
      <c r="E25" t="s">
        <v>349</v>
      </c>
      <c r="F25">
        <v>6</v>
      </c>
      <c r="G25">
        <f>COUNTIFS('Customer Dashboard'!$C:$C,$C25,'Customer Dashboard'!$A:$A,"&lt;&gt;",'Customer Dashboard'!$K:$K,"&lt;&gt;")</f>
        <v>0</v>
      </c>
      <c r="H25">
        <f>COUNTIFS('Customer Dashboard'!$C:$C,$C25,'Customer Dashboard'!$K:$K,"Pass")</f>
        <v>0</v>
      </c>
      <c r="I25">
        <f>COUNTIFS('Customer Dashboard'!$C:$C,$C25,'Customer Dashboard'!$K:$K,"Fail")</f>
        <v>0</v>
      </c>
      <c r="J25">
        <f t="shared" si="0"/>
        <v>6</v>
      </c>
      <c r="K25">
        <f t="shared" si="1"/>
        <v>0</v>
      </c>
      <c r="L25" t="s">
        <v>27</v>
      </c>
      <c r="M25" t="str">
        <f t="shared" si="2"/>
        <v>Not Started</v>
      </c>
    </row>
    <row r="26" spans="1:13">
      <c r="A26" t="s">
        <v>350</v>
      </c>
      <c r="B26" t="s">
        <v>92</v>
      </c>
      <c r="C26" t="s">
        <v>111</v>
      </c>
      <c r="D26" t="s">
        <v>110</v>
      </c>
      <c r="E26" t="s">
        <v>351</v>
      </c>
      <c r="F26">
        <v>4</v>
      </c>
      <c r="G26">
        <f>COUNTIFS('Customer Dashboard'!$C:$C,$C26,'Customer Dashboard'!$A:$A,"&lt;&gt;",'Customer Dashboard'!$K:$K,"&lt;&gt;")</f>
        <v>0</v>
      </c>
      <c r="H26">
        <f>COUNTIFS('Customer Dashboard'!$C:$C,$C26,'Customer Dashboard'!$K:$K,"Pass")</f>
        <v>0</v>
      </c>
      <c r="I26">
        <f>COUNTIFS('Customer Dashboard'!$C:$C,$C26,'Customer Dashboard'!$K:$K,"Fail")</f>
        <v>0</v>
      </c>
      <c r="J26">
        <f t="shared" si="0"/>
        <v>4</v>
      </c>
      <c r="K26">
        <f t="shared" si="1"/>
        <v>0</v>
      </c>
      <c r="L26" t="s">
        <v>27</v>
      </c>
      <c r="M26" t="str">
        <f t="shared" si="2"/>
        <v>Not Started</v>
      </c>
    </row>
    <row r="27" spans="1:13">
      <c r="A27" t="s">
        <v>352</v>
      </c>
      <c r="B27" t="s">
        <v>92</v>
      </c>
      <c r="C27" t="s">
        <v>114</v>
      </c>
      <c r="D27" t="s">
        <v>113</v>
      </c>
      <c r="E27" t="s">
        <v>353</v>
      </c>
      <c r="F27">
        <v>4</v>
      </c>
      <c r="G27">
        <f>COUNTIFS('Customer Dashboard'!$C:$C,$C27,'Customer Dashboard'!$A:$A,"&lt;&gt;",'Customer Dashboard'!$K:$K,"&lt;&gt;")</f>
        <v>0</v>
      </c>
      <c r="H27">
        <f>COUNTIFS('Customer Dashboard'!$C:$C,$C27,'Customer Dashboard'!$K:$K,"Pass")</f>
        <v>0</v>
      </c>
      <c r="I27">
        <f>COUNTIFS('Customer Dashboard'!$C:$C,$C27,'Customer Dashboard'!$K:$K,"Fail")</f>
        <v>0</v>
      </c>
      <c r="J27">
        <f t="shared" si="0"/>
        <v>4</v>
      </c>
      <c r="K27">
        <f t="shared" si="1"/>
        <v>0</v>
      </c>
      <c r="L27" t="s">
        <v>27</v>
      </c>
      <c r="M27" t="str">
        <f t="shared" si="2"/>
        <v>Not Started</v>
      </c>
    </row>
    <row r="28" spans="1:13">
      <c r="A28" t="s">
        <v>354</v>
      </c>
      <c r="B28" t="s">
        <v>92</v>
      </c>
      <c r="C28" t="s">
        <v>117</v>
      </c>
      <c r="D28" t="s">
        <v>116</v>
      </c>
      <c r="E28" t="s">
        <v>355</v>
      </c>
      <c r="F28">
        <v>5</v>
      </c>
      <c r="G28">
        <f>COUNTIFS('Customer Dashboard'!$C:$C,$C28,'Customer Dashboard'!$A:$A,"&lt;&gt;",'Customer Dashboard'!$K:$K,"&lt;&gt;")</f>
        <v>0</v>
      </c>
      <c r="H28">
        <f>COUNTIFS('Customer Dashboard'!$C:$C,$C28,'Customer Dashboard'!$K:$K,"Pass")</f>
        <v>0</v>
      </c>
      <c r="I28">
        <f>COUNTIFS('Customer Dashboard'!$C:$C,$C28,'Customer Dashboard'!$K:$K,"Fail")</f>
        <v>0</v>
      </c>
      <c r="J28">
        <f t="shared" si="0"/>
        <v>5</v>
      </c>
      <c r="K28">
        <f t="shared" si="1"/>
        <v>0</v>
      </c>
      <c r="L28" t="s">
        <v>27</v>
      </c>
      <c r="M28" t="str">
        <f t="shared" si="2"/>
        <v>Not Started</v>
      </c>
    </row>
    <row r="29" spans="1:13">
      <c r="A29" t="s">
        <v>356</v>
      </c>
      <c r="B29" t="s">
        <v>92</v>
      </c>
      <c r="C29" t="s">
        <v>120</v>
      </c>
      <c r="D29" t="s">
        <v>119</v>
      </c>
      <c r="E29" t="s">
        <v>357</v>
      </c>
      <c r="F29">
        <v>7</v>
      </c>
      <c r="G29">
        <f>COUNTIFS('Customer Dashboard'!$C:$C,$C29,'Customer Dashboard'!$A:$A,"&lt;&gt;",'Customer Dashboard'!$K:$K,"&lt;&gt;")</f>
        <v>0</v>
      </c>
      <c r="H29">
        <f>COUNTIFS('Customer Dashboard'!$C:$C,$C29,'Customer Dashboard'!$K:$K,"Pass")</f>
        <v>0</v>
      </c>
      <c r="I29">
        <f>COUNTIFS('Customer Dashboard'!$C:$C,$C29,'Customer Dashboard'!$K:$K,"Fail")</f>
        <v>0</v>
      </c>
      <c r="J29">
        <f t="shared" si="0"/>
        <v>7</v>
      </c>
      <c r="K29">
        <f t="shared" si="1"/>
        <v>0</v>
      </c>
      <c r="L29" t="s">
        <v>27</v>
      </c>
      <c r="M29" t="str">
        <f t="shared" si="2"/>
        <v>Not Started</v>
      </c>
    </row>
    <row r="30" spans="1:13">
      <c r="A30" t="s">
        <v>358</v>
      </c>
      <c r="B30" t="s">
        <v>92</v>
      </c>
      <c r="C30" t="s">
        <v>123</v>
      </c>
      <c r="D30" t="s">
        <v>122</v>
      </c>
      <c r="E30" t="s">
        <v>359</v>
      </c>
      <c r="F30">
        <v>5</v>
      </c>
      <c r="G30">
        <f>COUNTIFS('Customer Dashboard'!$C:$C,$C30,'Customer Dashboard'!$A:$A,"&lt;&gt;",'Customer Dashboard'!$K:$K,"&lt;&gt;")</f>
        <v>0</v>
      </c>
      <c r="H30">
        <f>COUNTIFS('Customer Dashboard'!$C:$C,$C30,'Customer Dashboard'!$K:$K,"Pass")</f>
        <v>0</v>
      </c>
      <c r="I30">
        <f>COUNTIFS('Customer Dashboard'!$C:$C,$C30,'Customer Dashboard'!$K:$K,"Fail")</f>
        <v>0</v>
      </c>
      <c r="J30">
        <f t="shared" si="0"/>
        <v>5</v>
      </c>
      <c r="K30">
        <f t="shared" si="1"/>
        <v>0</v>
      </c>
      <c r="L30" t="s">
        <v>27</v>
      </c>
      <c r="M30" t="str">
        <f t="shared" si="2"/>
        <v>Not Started</v>
      </c>
    </row>
    <row r="31" spans="1:13">
      <c r="A31" t="s">
        <v>360</v>
      </c>
      <c r="B31" t="s">
        <v>92</v>
      </c>
      <c r="C31" t="s">
        <v>126</v>
      </c>
      <c r="D31" t="s">
        <v>125</v>
      </c>
      <c r="E31" t="s">
        <v>361</v>
      </c>
      <c r="F31">
        <v>5</v>
      </c>
      <c r="G31">
        <f>COUNTIFS('Customer Dashboard'!$C:$C,$C31,'Customer Dashboard'!$A:$A,"&lt;&gt;",'Customer Dashboard'!$K:$K,"&lt;&gt;")</f>
        <v>0</v>
      </c>
      <c r="H31">
        <f>COUNTIFS('Customer Dashboard'!$C:$C,$C31,'Customer Dashboard'!$K:$K,"Pass")</f>
        <v>0</v>
      </c>
      <c r="I31">
        <f>COUNTIFS('Customer Dashboard'!$C:$C,$C31,'Customer Dashboard'!$K:$K,"Fail")</f>
        <v>0</v>
      </c>
      <c r="J31">
        <f t="shared" si="0"/>
        <v>5</v>
      </c>
      <c r="K31">
        <f t="shared" si="1"/>
        <v>0</v>
      </c>
      <c r="L31" t="s">
        <v>27</v>
      </c>
      <c r="M31" t="str">
        <f t="shared" si="2"/>
        <v>Not Started</v>
      </c>
    </row>
    <row r="32" spans="1:13">
      <c r="A32" t="s">
        <v>362</v>
      </c>
      <c r="B32" t="s">
        <v>92</v>
      </c>
      <c r="C32" t="s">
        <v>129</v>
      </c>
      <c r="D32" t="s">
        <v>128</v>
      </c>
      <c r="E32" t="s">
        <v>363</v>
      </c>
      <c r="F32">
        <v>8</v>
      </c>
      <c r="G32">
        <f>COUNTIFS('Customer Dashboard'!$C:$C,$C32,'Customer Dashboard'!$A:$A,"&lt;&gt;",'Customer Dashboard'!$K:$K,"&lt;&gt;")</f>
        <v>0</v>
      </c>
      <c r="H32">
        <f>COUNTIFS('Customer Dashboard'!$C:$C,$C32,'Customer Dashboard'!$K:$K,"Pass")</f>
        <v>0</v>
      </c>
      <c r="I32">
        <f>COUNTIFS('Customer Dashboard'!$C:$C,$C32,'Customer Dashboard'!$K:$K,"Fail")</f>
        <v>0</v>
      </c>
      <c r="J32">
        <f t="shared" si="0"/>
        <v>8</v>
      </c>
      <c r="K32">
        <f t="shared" si="1"/>
        <v>0</v>
      </c>
      <c r="L32" t="s">
        <v>27</v>
      </c>
      <c r="M32" t="str">
        <f t="shared" si="2"/>
        <v>Not Started</v>
      </c>
    </row>
    <row r="33" spans="1:13">
      <c r="A33" t="s">
        <v>364</v>
      </c>
      <c r="B33" t="s">
        <v>92</v>
      </c>
      <c r="C33" t="s">
        <v>133</v>
      </c>
      <c r="D33" t="s">
        <v>132</v>
      </c>
      <c r="E33" t="s">
        <v>365</v>
      </c>
      <c r="F33">
        <v>5</v>
      </c>
      <c r="G33">
        <f>COUNTIFS('Customer Dashboard'!$C:$C,$C33,'Customer Dashboard'!$A:$A,"&lt;&gt;",'Customer Dashboard'!$K:$K,"&lt;&gt;")</f>
        <v>0</v>
      </c>
      <c r="H33">
        <f>COUNTIFS('Customer Dashboard'!$C:$C,$C33,'Customer Dashboard'!$K:$K,"Pass")</f>
        <v>0</v>
      </c>
      <c r="I33">
        <f>COUNTIFS('Customer Dashboard'!$C:$C,$C33,'Customer Dashboard'!$K:$K,"Fail")</f>
        <v>0</v>
      </c>
      <c r="J33">
        <f t="shared" si="0"/>
        <v>5</v>
      </c>
      <c r="K33">
        <f t="shared" si="1"/>
        <v>0</v>
      </c>
      <c r="L33" t="s">
        <v>27</v>
      </c>
      <c r="M33" t="str">
        <f t="shared" si="2"/>
        <v>Not Started</v>
      </c>
    </row>
    <row r="34" spans="1:13">
      <c r="A34" t="s">
        <v>366</v>
      </c>
      <c r="B34" t="s">
        <v>92</v>
      </c>
      <c r="C34" t="s">
        <v>136</v>
      </c>
      <c r="D34" t="s">
        <v>135</v>
      </c>
      <c r="E34" t="s">
        <v>367</v>
      </c>
      <c r="F34">
        <v>5</v>
      </c>
      <c r="G34">
        <f>COUNTIFS('Customer Dashboard'!$C:$C,$C34,'Customer Dashboard'!$A:$A,"&lt;&gt;",'Customer Dashboard'!$K:$K,"&lt;&gt;")</f>
        <v>0</v>
      </c>
      <c r="H34">
        <f>COUNTIFS('Customer Dashboard'!$C:$C,$C34,'Customer Dashboard'!$K:$K,"Pass")</f>
        <v>0</v>
      </c>
      <c r="I34">
        <f>COUNTIFS('Customer Dashboard'!$C:$C,$C34,'Customer Dashboard'!$K:$K,"Fail")</f>
        <v>0</v>
      </c>
      <c r="J34">
        <f t="shared" si="0"/>
        <v>5</v>
      </c>
      <c r="K34">
        <f t="shared" si="1"/>
        <v>0</v>
      </c>
      <c r="L34" t="s">
        <v>27</v>
      </c>
      <c r="M34" t="str">
        <f t="shared" si="2"/>
        <v>Not Started</v>
      </c>
    </row>
    <row r="35" spans="1:13">
      <c r="A35" t="s">
        <v>368</v>
      </c>
      <c r="B35" t="s">
        <v>92</v>
      </c>
      <c r="C35" t="s">
        <v>140</v>
      </c>
      <c r="D35" t="s">
        <v>139</v>
      </c>
      <c r="E35" t="s">
        <v>369</v>
      </c>
      <c r="F35">
        <v>2</v>
      </c>
      <c r="G35">
        <f>COUNTIFS('Customer Dashboard'!$C:$C,$C35,'Customer Dashboard'!$A:$A,"&lt;&gt;",'Customer Dashboard'!$K:$K,"&lt;&gt;")</f>
        <v>0</v>
      </c>
      <c r="H35">
        <f>COUNTIFS('Customer Dashboard'!$C:$C,$C35,'Customer Dashboard'!$K:$K,"Pass")</f>
        <v>0</v>
      </c>
      <c r="I35">
        <f>COUNTIFS('Customer Dashboard'!$C:$C,$C35,'Customer Dashboard'!$K:$K,"Fail")</f>
        <v>0</v>
      </c>
      <c r="J35">
        <f t="shared" si="0"/>
        <v>2</v>
      </c>
      <c r="K35">
        <f t="shared" si="1"/>
        <v>0</v>
      </c>
      <c r="L35" t="s">
        <v>27</v>
      </c>
      <c r="M35" t="str">
        <f t="shared" si="2"/>
        <v>Not Started</v>
      </c>
    </row>
    <row r="36" spans="1:13">
      <c r="A36" t="s">
        <v>370</v>
      </c>
      <c r="B36" t="s">
        <v>92</v>
      </c>
      <c r="C36" t="s">
        <v>143</v>
      </c>
      <c r="D36" t="s">
        <v>142</v>
      </c>
      <c r="E36" t="s">
        <v>371</v>
      </c>
      <c r="F36">
        <v>6</v>
      </c>
      <c r="G36">
        <f>COUNTIFS('Customer Dashboard'!$C:$C,$C36,'Customer Dashboard'!$A:$A,"&lt;&gt;",'Customer Dashboard'!$K:$K,"&lt;&gt;")</f>
        <v>0</v>
      </c>
      <c r="H36">
        <f>COUNTIFS('Customer Dashboard'!$C:$C,$C36,'Customer Dashboard'!$K:$K,"Pass")</f>
        <v>0</v>
      </c>
      <c r="I36">
        <f>COUNTIFS('Customer Dashboard'!$C:$C,$C36,'Customer Dashboard'!$K:$K,"Fail")</f>
        <v>0</v>
      </c>
      <c r="J36">
        <f t="shared" si="0"/>
        <v>6</v>
      </c>
      <c r="K36">
        <f t="shared" si="1"/>
        <v>0</v>
      </c>
      <c r="L36" t="s">
        <v>27</v>
      </c>
      <c r="M36" t="str">
        <f t="shared" si="2"/>
        <v>Not Started</v>
      </c>
    </row>
    <row r="37" spans="1:13">
      <c r="A37" t="s">
        <v>372</v>
      </c>
      <c r="B37" t="s">
        <v>147</v>
      </c>
      <c r="C37" t="s">
        <v>148</v>
      </c>
      <c r="D37" t="s">
        <v>146</v>
      </c>
      <c r="E37" t="s">
        <v>373</v>
      </c>
      <c r="F37">
        <v>4</v>
      </c>
      <c r="G37">
        <f>COUNTIFS('CommerceHub AI User Dashboard'!$C:$C,$C37,'CommerceHub AI User Dashboard'!$A:$A,"&lt;&gt;",'CommerceHub AI User Dashboard'!$K:$K,"&lt;&gt;")</f>
        <v>0</v>
      </c>
      <c r="H37">
        <f>COUNTIFS('CommerceHub AI User Dashboard'!$C:$C,$C37,'CommerceHub AI User Dashboard'!$K:$K,"Pass")</f>
        <v>0</v>
      </c>
      <c r="I37">
        <f>COUNTIFS('CommerceHub AI User Dashboard'!$C:$C,$C37,'CommerceHub AI User Dashboard'!$K:$K,"Fail")</f>
        <v>0</v>
      </c>
      <c r="J37">
        <f t="shared" si="0"/>
        <v>4</v>
      </c>
      <c r="K37">
        <f t="shared" si="1"/>
        <v>0</v>
      </c>
      <c r="L37" t="s">
        <v>27</v>
      </c>
      <c r="M37" t="str">
        <f t="shared" si="2"/>
        <v>Not Started</v>
      </c>
    </row>
    <row r="38" spans="1:13">
      <c r="A38" t="s">
        <v>374</v>
      </c>
      <c r="B38" t="s">
        <v>147</v>
      </c>
      <c r="C38" t="s">
        <v>151</v>
      </c>
      <c r="D38" t="s">
        <v>150</v>
      </c>
      <c r="E38" t="s">
        <v>375</v>
      </c>
      <c r="F38">
        <v>7</v>
      </c>
      <c r="G38">
        <f>COUNTIFS('CommerceHub AI User Dashboard'!$C:$C,$C38,'CommerceHub AI User Dashboard'!$A:$A,"&lt;&gt;",'CommerceHub AI User Dashboard'!$K:$K,"&lt;&gt;")</f>
        <v>0</v>
      </c>
      <c r="H38">
        <f>COUNTIFS('CommerceHub AI User Dashboard'!$C:$C,$C38,'CommerceHub AI User Dashboard'!$K:$K,"Pass")</f>
        <v>0</v>
      </c>
      <c r="I38">
        <f>COUNTIFS('CommerceHub AI User Dashboard'!$C:$C,$C38,'CommerceHub AI User Dashboard'!$K:$K,"Fail")</f>
        <v>0</v>
      </c>
      <c r="J38">
        <f t="shared" si="0"/>
        <v>7</v>
      </c>
      <c r="K38">
        <f t="shared" si="1"/>
        <v>0</v>
      </c>
      <c r="L38" t="s">
        <v>27</v>
      </c>
      <c r="M38" t="str">
        <f t="shared" si="2"/>
        <v>Not Started</v>
      </c>
    </row>
    <row r="39" spans="1:13">
      <c r="A39" t="s">
        <v>376</v>
      </c>
      <c r="B39" t="s">
        <v>147</v>
      </c>
      <c r="C39" t="s">
        <v>154</v>
      </c>
      <c r="D39" t="s">
        <v>153</v>
      </c>
      <c r="E39" t="s">
        <v>377</v>
      </c>
      <c r="F39">
        <v>7</v>
      </c>
      <c r="G39">
        <f>COUNTIFS('CommerceHub AI User Dashboard'!$C:$C,$C39,'CommerceHub AI User Dashboard'!$A:$A,"&lt;&gt;",'CommerceHub AI User Dashboard'!$K:$K,"&lt;&gt;")</f>
        <v>0</v>
      </c>
      <c r="H39">
        <f>COUNTIFS('CommerceHub AI User Dashboard'!$C:$C,$C39,'CommerceHub AI User Dashboard'!$K:$K,"Pass")</f>
        <v>0</v>
      </c>
      <c r="I39">
        <f>COUNTIFS('CommerceHub AI User Dashboard'!$C:$C,$C39,'CommerceHub AI User Dashboard'!$K:$K,"Fail")</f>
        <v>0</v>
      </c>
      <c r="J39">
        <f t="shared" si="0"/>
        <v>7</v>
      </c>
      <c r="K39">
        <f t="shared" si="1"/>
        <v>0</v>
      </c>
      <c r="L39" t="s">
        <v>27</v>
      </c>
      <c r="M39" t="str">
        <f t="shared" si="2"/>
        <v>Not Started</v>
      </c>
    </row>
    <row r="40" spans="1:13">
      <c r="A40" t="s">
        <v>378</v>
      </c>
      <c r="B40" t="s">
        <v>147</v>
      </c>
      <c r="C40" t="s">
        <v>157</v>
      </c>
      <c r="D40" t="s">
        <v>156</v>
      </c>
      <c r="E40" t="s">
        <v>379</v>
      </c>
      <c r="F40">
        <v>3</v>
      </c>
      <c r="G40">
        <f>COUNTIFS('CommerceHub AI User Dashboard'!$C:$C,$C40,'CommerceHub AI User Dashboard'!$A:$A,"&lt;&gt;",'CommerceHub AI User Dashboard'!$K:$K,"&lt;&gt;")</f>
        <v>0</v>
      </c>
      <c r="H40">
        <f>COUNTIFS('CommerceHub AI User Dashboard'!$C:$C,$C40,'CommerceHub AI User Dashboard'!$K:$K,"Pass")</f>
        <v>0</v>
      </c>
      <c r="I40">
        <f>COUNTIFS('CommerceHub AI User Dashboard'!$C:$C,$C40,'CommerceHub AI User Dashboard'!$K:$K,"Fail")</f>
        <v>0</v>
      </c>
      <c r="J40">
        <f t="shared" si="0"/>
        <v>3</v>
      </c>
      <c r="K40">
        <f t="shared" si="1"/>
        <v>0</v>
      </c>
      <c r="L40" t="s">
        <v>27</v>
      </c>
      <c r="M40" t="str">
        <f t="shared" si="2"/>
        <v>Not Started</v>
      </c>
    </row>
    <row r="41" spans="1:13">
      <c r="A41" t="s">
        <v>380</v>
      </c>
      <c r="B41" t="s">
        <v>147</v>
      </c>
      <c r="C41" t="s">
        <v>160</v>
      </c>
      <c r="D41" t="s">
        <v>159</v>
      </c>
      <c r="E41" t="s">
        <v>381</v>
      </c>
      <c r="F41">
        <v>5</v>
      </c>
      <c r="G41">
        <f>COUNTIFS('CommerceHub AI User Dashboard'!$C:$C,$C41,'CommerceHub AI User Dashboard'!$A:$A,"&lt;&gt;",'CommerceHub AI User Dashboard'!$K:$K,"&lt;&gt;")</f>
        <v>0</v>
      </c>
      <c r="H41">
        <f>COUNTIFS('CommerceHub AI User Dashboard'!$C:$C,$C41,'CommerceHub AI User Dashboard'!$K:$K,"Pass")</f>
        <v>0</v>
      </c>
      <c r="I41">
        <f>COUNTIFS('CommerceHub AI User Dashboard'!$C:$C,$C41,'CommerceHub AI User Dashboard'!$K:$K,"Fail")</f>
        <v>0</v>
      </c>
      <c r="J41">
        <f t="shared" si="0"/>
        <v>5</v>
      </c>
      <c r="K41">
        <f t="shared" si="1"/>
        <v>0</v>
      </c>
      <c r="L41" t="s">
        <v>27</v>
      </c>
      <c r="M41" t="str">
        <f t="shared" si="2"/>
        <v>Not Started</v>
      </c>
    </row>
    <row r="42" spans="1:13">
      <c r="A42" t="s">
        <v>382</v>
      </c>
      <c r="B42" t="s">
        <v>147</v>
      </c>
      <c r="C42" t="s">
        <v>163</v>
      </c>
      <c r="D42" t="s">
        <v>162</v>
      </c>
      <c r="E42" t="s">
        <v>383</v>
      </c>
      <c r="F42">
        <v>5</v>
      </c>
      <c r="G42">
        <f>COUNTIFS('CommerceHub AI User Dashboard'!$C:$C,$C42,'CommerceHub AI User Dashboard'!$A:$A,"&lt;&gt;",'CommerceHub AI User Dashboard'!$K:$K,"&lt;&gt;")</f>
        <v>0</v>
      </c>
      <c r="H42">
        <f>COUNTIFS('CommerceHub AI User Dashboard'!$C:$C,$C42,'CommerceHub AI User Dashboard'!$K:$K,"Pass")</f>
        <v>0</v>
      </c>
      <c r="I42">
        <f>COUNTIFS('CommerceHub AI User Dashboard'!$C:$C,$C42,'CommerceHub AI User Dashboard'!$K:$K,"Fail")</f>
        <v>0</v>
      </c>
      <c r="J42">
        <f t="shared" si="0"/>
        <v>5</v>
      </c>
      <c r="K42">
        <f t="shared" si="1"/>
        <v>0</v>
      </c>
      <c r="L42" t="s">
        <v>27</v>
      </c>
      <c r="M42" t="str">
        <f t="shared" si="2"/>
        <v>Not Started</v>
      </c>
    </row>
    <row r="43" spans="1:13">
      <c r="A43" t="s">
        <v>384</v>
      </c>
      <c r="B43" t="s">
        <v>147</v>
      </c>
      <c r="C43" t="s">
        <v>166</v>
      </c>
      <c r="D43" t="s">
        <v>165</v>
      </c>
      <c r="E43" t="s">
        <v>385</v>
      </c>
      <c r="F43">
        <v>4</v>
      </c>
      <c r="G43">
        <f>COUNTIFS('CommerceHub AI User Dashboard'!$C:$C,$C43,'CommerceHub AI User Dashboard'!$A:$A,"&lt;&gt;",'CommerceHub AI User Dashboard'!$K:$K,"&lt;&gt;")</f>
        <v>0</v>
      </c>
      <c r="H43">
        <f>COUNTIFS('CommerceHub AI User Dashboard'!$C:$C,$C43,'CommerceHub AI User Dashboard'!$K:$K,"Pass")</f>
        <v>0</v>
      </c>
      <c r="I43">
        <f>COUNTIFS('CommerceHub AI User Dashboard'!$C:$C,$C43,'CommerceHub AI User Dashboard'!$K:$K,"Fail")</f>
        <v>0</v>
      </c>
      <c r="J43">
        <f t="shared" si="0"/>
        <v>4</v>
      </c>
      <c r="K43">
        <f t="shared" si="1"/>
        <v>0</v>
      </c>
      <c r="L43" t="s">
        <v>27</v>
      </c>
      <c r="M43" t="str">
        <f t="shared" si="2"/>
        <v>Not Started</v>
      </c>
    </row>
    <row r="44" spans="1:13">
      <c r="A44" t="s">
        <v>386</v>
      </c>
      <c r="B44" t="s">
        <v>147</v>
      </c>
      <c r="C44" t="s">
        <v>169</v>
      </c>
      <c r="D44" t="s">
        <v>168</v>
      </c>
      <c r="E44" t="s">
        <v>387</v>
      </c>
      <c r="F44">
        <v>4</v>
      </c>
      <c r="G44">
        <f>COUNTIFS('CommerceHub AI User Dashboard'!$C:$C,$C44,'CommerceHub AI User Dashboard'!$A:$A,"&lt;&gt;",'CommerceHub AI User Dashboard'!$K:$K,"&lt;&gt;")</f>
        <v>0</v>
      </c>
      <c r="H44">
        <f>COUNTIFS('CommerceHub AI User Dashboard'!$C:$C,$C44,'CommerceHub AI User Dashboard'!$K:$K,"Pass")</f>
        <v>0</v>
      </c>
      <c r="I44">
        <f>COUNTIFS('CommerceHub AI User Dashboard'!$C:$C,$C44,'CommerceHub AI User Dashboard'!$K:$K,"Fail")</f>
        <v>0</v>
      </c>
      <c r="J44">
        <f t="shared" si="0"/>
        <v>4</v>
      </c>
      <c r="K44">
        <f t="shared" si="1"/>
        <v>0</v>
      </c>
      <c r="L44" t="s">
        <v>27</v>
      </c>
      <c r="M44" t="str">
        <f t="shared" si="2"/>
        <v>Not Started</v>
      </c>
    </row>
    <row r="45" spans="1:13">
      <c r="A45" t="s">
        <v>388</v>
      </c>
      <c r="B45" t="s">
        <v>147</v>
      </c>
      <c r="C45" t="s">
        <v>172</v>
      </c>
      <c r="D45" t="s">
        <v>171</v>
      </c>
      <c r="E45" t="s">
        <v>389</v>
      </c>
      <c r="F45">
        <v>5</v>
      </c>
      <c r="G45">
        <f>COUNTIFS('CommerceHub AI User Dashboard'!$C:$C,$C45,'CommerceHub AI User Dashboard'!$A:$A,"&lt;&gt;",'CommerceHub AI User Dashboard'!$K:$K,"&lt;&gt;")</f>
        <v>0</v>
      </c>
      <c r="H45">
        <f>COUNTIFS('CommerceHub AI User Dashboard'!$C:$C,$C45,'CommerceHub AI User Dashboard'!$K:$K,"Pass")</f>
        <v>0</v>
      </c>
      <c r="I45">
        <f>COUNTIFS('CommerceHub AI User Dashboard'!$C:$C,$C45,'CommerceHub AI User Dashboard'!$K:$K,"Fail")</f>
        <v>0</v>
      </c>
      <c r="J45">
        <f t="shared" si="0"/>
        <v>5</v>
      </c>
      <c r="K45">
        <f t="shared" si="1"/>
        <v>0</v>
      </c>
      <c r="L45" t="s">
        <v>27</v>
      </c>
      <c r="M45" t="str">
        <f t="shared" si="2"/>
        <v>Not Started</v>
      </c>
    </row>
    <row r="46" spans="1:13">
      <c r="A46" t="s">
        <v>179</v>
      </c>
      <c r="B46" t="s">
        <v>175</v>
      </c>
      <c r="C46" t="s">
        <v>176</v>
      </c>
      <c r="D46" t="s">
        <v>174</v>
      </c>
      <c r="E46" t="s">
        <v>390</v>
      </c>
      <c r="F46">
        <v>15</v>
      </c>
      <c r="G46">
        <f>COUNTIFS('Customer Management'!$C:$C,$C46,'Customer Management'!$A:$A,"&lt;&gt;",'Customer Management'!$K:$K,"&lt;&gt;")</f>
        <v>0</v>
      </c>
      <c r="H46">
        <f>COUNTIFS('Customer Management'!$C:$C,$C46,'Customer Management'!$K:$K,"Pass")</f>
        <v>0</v>
      </c>
      <c r="I46">
        <f>COUNTIFS('Customer Management'!$C:$C,$C46,'Customer Management'!$K:$K,"Fail")</f>
        <v>0</v>
      </c>
      <c r="J46">
        <f t="shared" si="0"/>
        <v>15</v>
      </c>
      <c r="K46">
        <f t="shared" si="1"/>
        <v>0</v>
      </c>
      <c r="L46" t="s">
        <v>27</v>
      </c>
      <c r="M46" t="str">
        <f t="shared" si="2"/>
        <v>Not Started</v>
      </c>
    </row>
    <row r="47" spans="1:13">
      <c r="A47" t="s">
        <v>183</v>
      </c>
      <c r="B47" t="s">
        <v>175</v>
      </c>
      <c r="C47" t="s">
        <v>181</v>
      </c>
      <c r="D47" t="s">
        <v>180</v>
      </c>
      <c r="E47" t="s">
        <v>391</v>
      </c>
      <c r="F47">
        <v>15</v>
      </c>
      <c r="G47">
        <f>COUNTIFS('Add New Customer'!$C:$C,$C47,'Add New Customer'!$A:$A,"&lt;&gt;",'Add New Customer'!$K:$K,"&lt;&gt;")</f>
        <v>0</v>
      </c>
      <c r="H47">
        <f>COUNTIFS('Add New Customer'!$C:$C,$C47,'Add New Customer'!$K:$K,"Pass")</f>
        <v>0</v>
      </c>
      <c r="I47">
        <f>COUNTIFS('Add New Customer'!$C:$C,$C47,'Add New Customer'!$K:$K,"Fail")</f>
        <v>0</v>
      </c>
      <c r="J47">
        <f t="shared" si="0"/>
        <v>15</v>
      </c>
      <c r="K47">
        <f t="shared" si="1"/>
        <v>0</v>
      </c>
      <c r="L47" t="s">
        <v>27</v>
      </c>
      <c r="M47" t="str">
        <f t="shared" si="2"/>
        <v>Not Started</v>
      </c>
    </row>
    <row r="48" spans="1:13">
      <c r="A48" t="s">
        <v>187</v>
      </c>
      <c r="B48" t="s">
        <v>175</v>
      </c>
      <c r="C48" t="s">
        <v>185</v>
      </c>
      <c r="D48" t="s">
        <v>184</v>
      </c>
      <c r="E48" t="s">
        <v>392</v>
      </c>
      <c r="F48">
        <v>13</v>
      </c>
      <c r="G48">
        <f>COUNTIFS('Connected Stores'!$C:$C,$C48,'Connected Stores'!$A:$A,"&lt;&gt;",'Connected Stores'!$K:$K,"&lt;&gt;")</f>
        <v>0</v>
      </c>
      <c r="H48">
        <f>COUNTIFS('Connected Stores'!$C:$C,$C48,'Connected Stores'!$K:$K,"Pass")</f>
        <v>0</v>
      </c>
      <c r="I48">
        <f>COUNTIFS('Connected Stores'!$C:$C,$C48,'Connected Stores'!$K:$K,"Fail")</f>
        <v>0</v>
      </c>
      <c r="J48">
        <f t="shared" si="0"/>
        <v>13</v>
      </c>
      <c r="K48">
        <f t="shared" si="1"/>
        <v>0</v>
      </c>
      <c r="L48" t="s">
        <v>27</v>
      </c>
      <c r="M48" t="str">
        <f t="shared" si="2"/>
        <v>Not Started</v>
      </c>
    </row>
    <row r="49" spans="1:13">
      <c r="A49" t="s">
        <v>191</v>
      </c>
      <c r="B49" t="s">
        <v>175</v>
      </c>
      <c r="C49" t="s">
        <v>189</v>
      </c>
      <c r="D49" t="s">
        <v>188</v>
      </c>
      <c r="E49" t="s">
        <v>393</v>
      </c>
      <c r="F49">
        <v>9</v>
      </c>
      <c r="G49">
        <f>COUNTIFS('Connect Store - Platform'!$C:$C,$C49,'Connect Store - Platform'!$A:$A,"&lt;&gt;",'Connect Store - Platform'!$K:$K,"&lt;&gt;")</f>
        <v>0</v>
      </c>
      <c r="H49">
        <f>COUNTIFS('Connect Store - Platform'!$C:$C,$C49,'Connect Store - Platform'!$K:$K,"Pass")</f>
        <v>0</v>
      </c>
      <c r="I49">
        <f>COUNTIFS('Connect Store - Platform'!$C:$C,$C49,'Connect Store - Platform'!$K:$K,"Fail")</f>
        <v>0</v>
      </c>
      <c r="J49">
        <f t="shared" si="0"/>
        <v>9</v>
      </c>
      <c r="K49">
        <f t="shared" si="1"/>
        <v>0</v>
      </c>
      <c r="L49" t="s">
        <v>27</v>
      </c>
      <c r="M49" t="str">
        <f t="shared" si="2"/>
        <v>Not Started</v>
      </c>
    </row>
    <row r="50" spans="1:13">
      <c r="A50" t="s">
        <v>195</v>
      </c>
      <c r="B50" t="s">
        <v>175</v>
      </c>
      <c r="C50" t="s">
        <v>193</v>
      </c>
      <c r="D50" t="s">
        <v>192</v>
      </c>
      <c r="E50" t="s">
        <v>394</v>
      </c>
      <c r="F50">
        <v>13</v>
      </c>
      <c r="G50">
        <f>COUNTIFS('Connect Store - Details'!$C:$C,$C50,'Connect Store - Details'!$A:$A,"&lt;&gt;",'Connect Store - Details'!$K:$K,"&lt;&gt;")</f>
        <v>0</v>
      </c>
      <c r="H50">
        <f>COUNTIFS('Connect Store - Details'!$C:$C,$C50,'Connect Store - Details'!$K:$K,"Pass")</f>
        <v>0</v>
      </c>
      <c r="I50">
        <f>COUNTIFS('Connect Store - Details'!$C:$C,$C50,'Connect Store - Details'!$K:$K,"Fail")</f>
        <v>0</v>
      </c>
      <c r="J50">
        <f t="shared" si="0"/>
        <v>13</v>
      </c>
      <c r="K50">
        <f t="shared" si="1"/>
        <v>0</v>
      </c>
      <c r="L50" t="s">
        <v>27</v>
      </c>
      <c r="M50" t="str">
        <f t="shared" si="2"/>
        <v>Not Started</v>
      </c>
    </row>
    <row r="51" spans="1:13">
      <c r="A51" t="s">
        <v>199</v>
      </c>
      <c r="B51" t="s">
        <v>175</v>
      </c>
      <c r="C51" t="s">
        <v>197</v>
      </c>
      <c r="D51" t="s">
        <v>196</v>
      </c>
      <c r="E51" t="s">
        <v>395</v>
      </c>
      <c r="F51">
        <v>8</v>
      </c>
      <c r="G51">
        <f>COUNTIFS('Connect Store - Verify'!$C:$C,$C51,'Connect Store - Verify'!$A:$A,"&lt;&gt;",'Connect Store - Verify'!$K:$K,"&lt;&gt;")</f>
        <v>0</v>
      </c>
      <c r="H51">
        <f>COUNTIFS('Connect Store - Verify'!$C:$C,$C51,'Connect Store - Verify'!$K:$K,"Pass")</f>
        <v>0</v>
      </c>
      <c r="I51">
        <f>COUNTIFS('Connect Store - Verify'!$C:$C,$C51,'Connect Store - Verify'!$K:$K,"Fail")</f>
        <v>0</v>
      </c>
      <c r="J51">
        <f t="shared" si="0"/>
        <v>8</v>
      </c>
      <c r="K51">
        <f t="shared" si="1"/>
        <v>0</v>
      </c>
      <c r="L51" t="s">
        <v>27</v>
      </c>
      <c r="M51" t="str">
        <f t="shared" si="2"/>
        <v>Not Started</v>
      </c>
    </row>
    <row r="52" spans="1:13">
      <c r="A52" t="s">
        <v>203</v>
      </c>
      <c r="B52" t="s">
        <v>175</v>
      </c>
      <c r="C52" t="s">
        <v>201</v>
      </c>
      <c r="D52" t="s">
        <v>200</v>
      </c>
      <c r="E52" t="s">
        <v>396</v>
      </c>
      <c r="F52">
        <v>10</v>
      </c>
      <c r="G52">
        <f>COUNTIFS('Connect Store - Complete'!$C:$C,$C52,'Connect Store - Complete'!$A:$A,"&lt;&gt;",'Connect Store - Complete'!$K:$K,"&lt;&gt;")</f>
        <v>0</v>
      </c>
      <c r="H52">
        <f>COUNTIFS('Connect Store - Complete'!$C:$C,$C52,'Connect Store - Complete'!$K:$K,"Pass")</f>
        <v>0</v>
      </c>
      <c r="I52">
        <f>COUNTIFS('Connect Store - Complete'!$C:$C,$C52,'Connect Store - Complete'!$K:$K,"Fail")</f>
        <v>0</v>
      </c>
      <c r="J52">
        <f t="shared" si="0"/>
        <v>10</v>
      </c>
      <c r="K52">
        <f t="shared" si="1"/>
        <v>0</v>
      </c>
      <c r="L52" t="s">
        <v>27</v>
      </c>
      <c r="M52" t="str">
        <f t="shared" si="2"/>
        <v>Not Started</v>
      </c>
    </row>
    <row r="53" spans="1:13">
      <c r="A53" t="s">
        <v>209</v>
      </c>
      <c r="B53" t="s">
        <v>205</v>
      </c>
      <c r="C53" t="s">
        <v>206</v>
      </c>
      <c r="D53" t="s">
        <v>204</v>
      </c>
      <c r="E53" t="s">
        <v>397</v>
      </c>
      <c r="F53">
        <v>25</v>
      </c>
      <c r="G53">
        <f>COUNTIFS('Product Management'!$C:$C,$C53,'Product Management'!$A:$A,"&lt;&gt;",'Product Management'!$K:$K,"&lt;&gt;")</f>
        <v>1</v>
      </c>
      <c r="H53">
        <f>COUNTIFS('Product Management'!$C:$C,$C53,'Product Management'!$K:$K,"Pass")</f>
        <v>0</v>
      </c>
      <c r="I53">
        <f>COUNTIFS('Product Management'!$C:$C,$C53,'Product Management'!$K:$K,"Fail")</f>
        <v>0</v>
      </c>
      <c r="J53">
        <f t="shared" si="0"/>
        <v>24</v>
      </c>
      <c r="K53">
        <f t="shared" si="1"/>
        <v>0.04</v>
      </c>
      <c r="L53" t="s">
        <v>27</v>
      </c>
      <c r="M53" t="str">
        <f t="shared" si="2"/>
        <v>In Progress</v>
      </c>
    </row>
    <row r="54" spans="1:13">
      <c r="A54" t="s">
        <v>213</v>
      </c>
      <c r="B54" t="s">
        <v>205</v>
      </c>
      <c r="C54" t="s">
        <v>211</v>
      </c>
      <c r="D54" t="s">
        <v>210</v>
      </c>
      <c r="E54" t="s">
        <v>398</v>
      </c>
      <c r="F54">
        <v>27</v>
      </c>
      <c r="G54" t="e">
        <f>COUNTIFS(#REF!,$C54,#REF!,"&lt;&gt;",#REF!,"&lt;&gt;")</f>
        <v>#REF!</v>
      </c>
      <c r="H54" t="e">
        <f>COUNTIFS(#REF!,$C54,#REF!,"Pass")</f>
        <v>#REF!</v>
      </c>
      <c r="I54" t="e">
        <f>COUNTIFS(#REF!,$C54,#REF!,"Fail")</f>
        <v>#REF!</v>
      </c>
      <c r="J54" t="e">
        <f t="shared" si="0"/>
        <v>#REF!</v>
      </c>
      <c r="K54">
        <f t="shared" si="1"/>
        <v>0</v>
      </c>
      <c r="L54" t="s">
        <v>27</v>
      </c>
      <c r="M54" t="e">
        <f t="shared" si="2"/>
        <v>#REF!</v>
      </c>
    </row>
    <row r="55" spans="1:13">
      <c r="A55" t="s">
        <v>218</v>
      </c>
      <c r="B55" t="s">
        <v>215</v>
      </c>
      <c r="C55" t="s">
        <v>216</v>
      </c>
      <c r="D55" t="s">
        <v>214</v>
      </c>
      <c r="E55" t="s">
        <v>399</v>
      </c>
      <c r="F55">
        <v>19</v>
      </c>
      <c r="G55">
        <f>COUNTIFS('User Management'!$C:$C,$C55,'User Management'!$A:$A,"&lt;&gt;",'User Management'!$K:$K,"&lt;&gt;")</f>
        <v>0</v>
      </c>
      <c r="H55">
        <f>COUNTIFS('User Management'!$C:$C,$C55,'User Management'!$K:$K,"Pass")</f>
        <v>0</v>
      </c>
      <c r="I55">
        <f>COUNTIFS('User Management'!$C:$C,$C55,'User Management'!$K:$K,"Fail")</f>
        <v>0</v>
      </c>
      <c r="J55">
        <f t="shared" si="0"/>
        <v>19</v>
      </c>
      <c r="K55">
        <f t="shared" si="1"/>
        <v>0</v>
      </c>
      <c r="L55" t="s">
        <v>27</v>
      </c>
      <c r="M55" t="str">
        <f t="shared" si="2"/>
        <v>Not Started</v>
      </c>
    </row>
    <row r="56" spans="1:13">
      <c r="A56" t="s">
        <v>222</v>
      </c>
      <c r="B56" t="s">
        <v>215</v>
      </c>
      <c r="C56" t="s">
        <v>220</v>
      </c>
      <c r="D56" t="s">
        <v>219</v>
      </c>
      <c r="E56" t="s">
        <v>400</v>
      </c>
      <c r="F56">
        <v>20</v>
      </c>
      <c r="G56">
        <f>COUNTIFS('Invite Team Member'!$C:$C,$C56,'Invite Team Member'!$A:$A,"&lt;&gt;",'Invite Team Member'!$K:$K,"&lt;&gt;")</f>
        <v>0</v>
      </c>
      <c r="H56">
        <f>COUNTIFS('Invite Team Member'!$C:$C,$C56,'Invite Team Member'!$K:$K,"Pass")</f>
        <v>0</v>
      </c>
      <c r="I56">
        <f>COUNTIFS('Invite Team Member'!$C:$C,$C56,'Invite Team Member'!$K:$K,"Fail")</f>
        <v>0</v>
      </c>
      <c r="J56">
        <f t="shared" si="0"/>
        <v>20</v>
      </c>
      <c r="K56">
        <f t="shared" si="1"/>
        <v>0</v>
      </c>
      <c r="L56" t="s">
        <v>27</v>
      </c>
      <c r="M56" t="str">
        <f t="shared" si="2"/>
        <v>Not Started</v>
      </c>
    </row>
    <row r="57" spans="1:13">
      <c r="A57" t="s">
        <v>227</v>
      </c>
      <c r="B57" t="s">
        <v>224</v>
      </c>
      <c r="C57" t="s">
        <v>225</v>
      </c>
      <c r="D57" t="s">
        <v>223</v>
      </c>
      <c r="E57" t="s">
        <v>401</v>
      </c>
      <c r="F57">
        <v>21</v>
      </c>
      <c r="G57">
        <f>COUNTIFS('Industry Rules Configuration'!$C:$C,$C57,'Industry Rules Configuration'!$A:$A,"&lt;&gt;",'Industry Rules Configuration'!$K:$K,"&lt;&gt;")</f>
        <v>0</v>
      </c>
      <c r="H57">
        <f>COUNTIFS('Industry Rules Configuration'!$C:$C,$C57,'Industry Rules Configuration'!$K:$K,"Pass")</f>
        <v>0</v>
      </c>
      <c r="I57">
        <f>COUNTIFS('Industry Rules Configuration'!$C:$C,$C57,'Industry Rules Configuration'!$K:$K,"Fail")</f>
        <v>0</v>
      </c>
      <c r="J57">
        <f t="shared" si="0"/>
        <v>21</v>
      </c>
      <c r="K57">
        <f t="shared" si="1"/>
        <v>0</v>
      </c>
      <c r="L57" t="s">
        <v>27</v>
      </c>
      <c r="M57" t="str">
        <f t="shared" si="2"/>
        <v>Not Started</v>
      </c>
    </row>
    <row r="58" spans="1:13">
      <c r="A58" t="s">
        <v>231</v>
      </c>
      <c r="B58" t="s">
        <v>224</v>
      </c>
      <c r="C58" t="s">
        <v>229</v>
      </c>
      <c r="D58" t="s">
        <v>228</v>
      </c>
      <c r="E58" t="s">
        <v>402</v>
      </c>
      <c r="F58">
        <v>21</v>
      </c>
      <c r="G58">
        <f>COUNTIFS('Create Industry Rule Template'!$C:$C,$C58,'Create Industry Rule Template'!$A:$A,"&lt;&gt;",'Create Industry Rule Template'!$K:$K,"&lt;&gt;")</f>
        <v>0</v>
      </c>
      <c r="H58">
        <f>COUNTIFS('Create Industry Rule Template'!$C:$C,$C58,'Create Industry Rule Template'!$K:$K,"Pass")</f>
        <v>0</v>
      </c>
      <c r="I58">
        <f>COUNTIFS('Create Industry Rule Template'!$C:$C,$C58,'Create Industry Rule Template'!$K:$K,"Fail")</f>
        <v>0</v>
      </c>
      <c r="J58">
        <f t="shared" si="0"/>
        <v>21</v>
      </c>
      <c r="K58">
        <f t="shared" si="1"/>
        <v>0</v>
      </c>
      <c r="L58" t="s">
        <v>27</v>
      </c>
      <c r="M58" t="str">
        <f t="shared" si="2"/>
        <v>Not Started</v>
      </c>
    </row>
    <row r="59" spans="1:13">
      <c r="A59" t="s">
        <v>236</v>
      </c>
      <c r="B59" t="s">
        <v>233</v>
      </c>
      <c r="C59" t="s">
        <v>234</v>
      </c>
      <c r="D59" t="s">
        <v>232</v>
      </c>
      <c r="E59" t="s">
        <v>403</v>
      </c>
      <c r="F59">
        <v>18</v>
      </c>
      <c r="G59">
        <f>COUNTIFS('Billing &amp; Subscriptions'!$C:$C,$C59,'Billing &amp; Subscriptions'!$A:$A,"&lt;&gt;",'Billing &amp; Subscriptions'!$K:$K,"&lt;&gt;")</f>
        <v>0</v>
      </c>
      <c r="H59">
        <f>COUNTIFS('Billing &amp; Subscriptions'!$C:$C,$C59,'Billing &amp; Subscriptions'!$K:$K,"Pass")</f>
        <v>0</v>
      </c>
      <c r="I59">
        <f>COUNTIFS('Billing &amp; Subscriptions'!$C:$C,$C59,'Billing &amp; Subscriptions'!$K:$K,"Fail")</f>
        <v>0</v>
      </c>
      <c r="J59">
        <f t="shared" si="0"/>
        <v>18</v>
      </c>
      <c r="K59">
        <f t="shared" si="1"/>
        <v>0</v>
      </c>
      <c r="L59" t="s">
        <v>27</v>
      </c>
      <c r="M59" t="str">
        <f t="shared" si="2"/>
        <v>Not Started</v>
      </c>
    </row>
    <row r="60" spans="1:13">
      <c r="A60" t="s">
        <v>241</v>
      </c>
      <c r="B60" t="s">
        <v>238</v>
      </c>
      <c r="C60" t="s">
        <v>239</v>
      </c>
      <c r="D60" t="s">
        <v>237</v>
      </c>
      <c r="E60" t="s">
        <v>404</v>
      </c>
      <c r="F60">
        <v>18</v>
      </c>
      <c r="G60">
        <f>COUNTIFS('Pricing Management'!$C:$C,$C60,'Pricing Management'!$A:$A,"&lt;&gt;",'Pricing Management'!$K:$K,"&lt;&gt;")</f>
        <v>0</v>
      </c>
      <c r="H60">
        <f>COUNTIFS('Pricing Management'!$C:$C,$C60,'Pricing Management'!$K:$K,"Pass")</f>
        <v>0</v>
      </c>
      <c r="I60">
        <f>COUNTIFS('Pricing Management'!$C:$C,$C60,'Pricing Management'!$K:$K,"Fail")</f>
        <v>0</v>
      </c>
      <c r="J60">
        <f t="shared" si="0"/>
        <v>18</v>
      </c>
      <c r="K60">
        <f t="shared" si="1"/>
        <v>0</v>
      </c>
      <c r="L60" t="s">
        <v>27</v>
      </c>
      <c r="M60" t="str">
        <f t="shared" si="2"/>
        <v>Not Started</v>
      </c>
    </row>
    <row r="61" spans="1:13">
      <c r="A61" t="s">
        <v>245</v>
      </c>
      <c r="B61" t="s">
        <v>238</v>
      </c>
      <c r="C61" t="s">
        <v>243</v>
      </c>
      <c r="D61" t="s">
        <v>242</v>
      </c>
      <c r="E61" t="s">
        <v>405</v>
      </c>
      <c r="F61">
        <v>28</v>
      </c>
      <c r="G61">
        <f>COUNTIFS('Create New Price Rule'!$C:$C,$C61,'Create New Price Rule'!$A:$A,"&lt;&gt;",'Create New Price Rule'!$K:$K,"&lt;&gt;")</f>
        <v>0</v>
      </c>
      <c r="H61">
        <f>COUNTIFS('Create New Price Rule'!$C:$C,$C61,'Create New Price Rule'!$K:$K,"Pass")</f>
        <v>0</v>
      </c>
      <c r="I61">
        <f>COUNTIFS('Create New Price Rule'!$C:$C,$C61,'Create New Price Rule'!$K:$K,"Fail")</f>
        <v>0</v>
      </c>
      <c r="J61">
        <f t="shared" si="0"/>
        <v>28</v>
      </c>
      <c r="K61">
        <f t="shared" si="1"/>
        <v>0</v>
      </c>
      <c r="L61" t="s">
        <v>27</v>
      </c>
      <c r="M61" t="str">
        <f t="shared" si="2"/>
        <v>Not Started</v>
      </c>
    </row>
    <row r="62" spans="1:13">
      <c r="A62" t="s">
        <v>250</v>
      </c>
      <c r="B62" t="s">
        <v>247</v>
      </c>
      <c r="C62" t="s">
        <v>248</v>
      </c>
      <c r="D62" t="s">
        <v>246</v>
      </c>
      <c r="E62" t="s">
        <v>406</v>
      </c>
      <c r="F62">
        <v>16</v>
      </c>
      <c r="G62">
        <f>COUNTIFS('Cart &amp; Checkout Configuration'!$C:$C,$C62,'Cart &amp; Checkout Configuration'!$A:$A,"&lt;&gt;",'Cart &amp; Checkout Configuration'!$K:$K,"&lt;&gt;")</f>
        <v>0</v>
      </c>
      <c r="H62">
        <f>COUNTIFS('Cart &amp; Checkout Configuration'!$C:$C,$C62,'Cart &amp; Checkout Configuration'!$K:$K,"Pass")</f>
        <v>0</v>
      </c>
      <c r="I62">
        <f>COUNTIFS('Cart &amp; Checkout Configuration'!$C:$C,$C62,'Cart &amp; Checkout Configuration'!$K:$K,"Fail")</f>
        <v>0</v>
      </c>
      <c r="J62">
        <f t="shared" si="0"/>
        <v>16</v>
      </c>
      <c r="K62">
        <f t="shared" si="1"/>
        <v>0</v>
      </c>
      <c r="L62" t="s">
        <v>27</v>
      </c>
      <c r="M62" t="str">
        <f t="shared" si="2"/>
        <v>Not Started</v>
      </c>
    </row>
    <row r="63" spans="1:13">
      <c r="A63" t="s">
        <v>255</v>
      </c>
      <c r="B63" t="s">
        <v>252</v>
      </c>
      <c r="C63" t="s">
        <v>253</v>
      </c>
      <c r="D63" t="s">
        <v>251</v>
      </c>
      <c r="E63" t="s">
        <v>407</v>
      </c>
      <c r="F63">
        <v>16</v>
      </c>
      <c r="G63">
        <f>COUNTIFS('Payment Gateway Management'!$C:$C,$C63,'Payment Gateway Management'!$A:$A,"&lt;&gt;",'Payment Gateway Management'!$K:$K,"&lt;&gt;")</f>
        <v>0</v>
      </c>
      <c r="H63">
        <f>COUNTIFS('Payment Gateway Management'!$C:$C,$C63,'Payment Gateway Management'!$K:$K,"Pass")</f>
        <v>0</v>
      </c>
      <c r="I63">
        <f>COUNTIFS('Payment Gateway Management'!$C:$C,$C63,'Payment Gateway Management'!$K:$K,"Fail")</f>
        <v>0</v>
      </c>
      <c r="J63">
        <f t="shared" si="0"/>
        <v>16</v>
      </c>
      <c r="K63">
        <f t="shared" si="1"/>
        <v>0</v>
      </c>
      <c r="L63" t="s">
        <v>27</v>
      </c>
      <c r="M63" t="str">
        <f t="shared" si="2"/>
        <v>Not Started</v>
      </c>
    </row>
    <row r="64" spans="1:13">
      <c r="A64" t="s">
        <v>260</v>
      </c>
      <c r="B64" t="s">
        <v>257</v>
      </c>
      <c r="C64" t="s">
        <v>258</v>
      </c>
      <c r="D64" t="s">
        <v>256</v>
      </c>
      <c r="E64" t="s">
        <v>408</v>
      </c>
      <c r="F64">
        <v>16</v>
      </c>
      <c r="G64">
        <f>COUNTIFS('Merchandising &amp; Discovery'!$C:$C,$C64,'Merchandising &amp; Discovery'!$A:$A,"&lt;&gt;",'Merchandising &amp; Discovery'!$K:$K,"&lt;&gt;")</f>
        <v>0</v>
      </c>
      <c r="H64">
        <f>COUNTIFS('Merchandising &amp; Discovery'!$C:$C,$C64,'Merchandising &amp; Discovery'!$K:$K,"Pass")</f>
        <v>0</v>
      </c>
      <c r="I64">
        <f>COUNTIFS('Merchandising &amp; Discovery'!$C:$C,$C64,'Merchandising &amp; Discovery'!$K:$K,"Fail")</f>
        <v>0</v>
      </c>
      <c r="J64">
        <f t="shared" si="0"/>
        <v>16</v>
      </c>
      <c r="K64">
        <f t="shared" si="1"/>
        <v>0</v>
      </c>
      <c r="L64" t="s">
        <v>27</v>
      </c>
      <c r="M64" t="str">
        <f t="shared" si="2"/>
        <v>Not Started</v>
      </c>
    </row>
    <row r="65" spans="1:13">
      <c r="A65" t="s">
        <v>265</v>
      </c>
      <c r="B65" t="s">
        <v>262</v>
      </c>
      <c r="C65" t="s">
        <v>263</v>
      </c>
      <c r="D65" t="s">
        <v>261</v>
      </c>
      <c r="E65" t="s">
        <v>409</v>
      </c>
      <c r="F65">
        <v>17</v>
      </c>
      <c r="G65">
        <f>COUNTIFS('Rules Engine'!$C:$C,$C65,'Rules Engine'!$A:$A,"&lt;&gt;",'Rules Engine'!$K:$K,"&lt;&gt;")</f>
        <v>0</v>
      </c>
      <c r="H65">
        <f>COUNTIFS('Rules Engine'!$C:$C,$C65,'Rules Engine'!$K:$K,"Pass")</f>
        <v>0</v>
      </c>
      <c r="I65">
        <f>COUNTIFS('Rules Engine'!$C:$C,$C65,'Rules Engine'!$K:$K,"Fail")</f>
        <v>0</v>
      </c>
      <c r="J65">
        <f t="shared" si="0"/>
        <v>17</v>
      </c>
      <c r="K65">
        <f t="shared" si="1"/>
        <v>0</v>
      </c>
      <c r="L65" t="s">
        <v>27</v>
      </c>
      <c r="M65" t="str">
        <f t="shared" si="2"/>
        <v>Not Started</v>
      </c>
    </row>
    <row r="66" spans="1:13">
      <c r="A66" t="s">
        <v>269</v>
      </c>
      <c r="B66" t="s">
        <v>262</v>
      </c>
      <c r="C66" t="s">
        <v>267</v>
      </c>
      <c r="D66" t="s">
        <v>266</v>
      </c>
      <c r="E66" t="s">
        <v>410</v>
      </c>
      <c r="F66">
        <v>23</v>
      </c>
      <c r="G66">
        <f>COUNTIFS('Create New Rule'!$C:$C,$C66,'Create New Rule'!$A:$A,"&lt;&gt;",'Create New Rule'!$K:$K,"&lt;&gt;")</f>
        <v>0</v>
      </c>
      <c r="H66">
        <f>COUNTIFS('Create New Rule'!$C:$C,$C66,'Create New Rule'!$K:$K,"Pass")</f>
        <v>0</v>
      </c>
      <c r="I66">
        <f>COUNTIFS('Create New Rule'!$C:$C,$C66,'Create New Rule'!$K:$K,"Fail")</f>
        <v>0</v>
      </c>
      <c r="J66">
        <f t="shared" ref="J66:J71" si="3">$F66-$G66</f>
        <v>23</v>
      </c>
      <c r="K66">
        <f t="shared" ref="K66:K71" si="4">IFERROR($G66/$F66,0)</f>
        <v>0</v>
      </c>
      <c r="L66" t="s">
        <v>27</v>
      </c>
      <c r="M66" t="str">
        <f t="shared" ref="M66:M71" si="5">IF($G66=0,"Not Started",IF($G66&lt;$F66,"In Progress",IF($I66&gt;0,"Completed - Issues Found","Completed - All Passed")))</f>
        <v>Not Started</v>
      </c>
    </row>
    <row r="67" spans="1:13">
      <c r="A67" t="s">
        <v>274</v>
      </c>
      <c r="B67" t="s">
        <v>271</v>
      </c>
      <c r="C67" t="s">
        <v>272</v>
      </c>
      <c r="D67" t="s">
        <v>270</v>
      </c>
      <c r="E67" t="s">
        <v>411</v>
      </c>
      <c r="F67">
        <v>21</v>
      </c>
      <c r="G67">
        <f>COUNTIFS('B2B Customer Management'!$C:$C,$C67,'B2B Customer Management'!$A:$A,"&lt;&gt;",'B2B Customer Management'!$K:$K,"&lt;&gt;")</f>
        <v>0</v>
      </c>
      <c r="H67">
        <f>COUNTIFS('B2B Customer Management'!$C:$C,$C67,'B2B Customer Management'!$K:$K,"Pass")</f>
        <v>0</v>
      </c>
      <c r="I67">
        <f>COUNTIFS('B2B Customer Management'!$C:$C,$C67,'B2B Customer Management'!$K:$K,"Fail")</f>
        <v>0</v>
      </c>
      <c r="J67">
        <f t="shared" si="3"/>
        <v>21</v>
      </c>
      <c r="K67">
        <f t="shared" si="4"/>
        <v>0</v>
      </c>
      <c r="L67" t="s">
        <v>27</v>
      </c>
      <c r="M67" t="str">
        <f t="shared" si="5"/>
        <v>Not Started</v>
      </c>
    </row>
    <row r="68" spans="1:13">
      <c r="A68" t="s">
        <v>278</v>
      </c>
      <c r="B68" t="s">
        <v>271</v>
      </c>
      <c r="C68" t="s">
        <v>276</v>
      </c>
      <c r="D68" t="s">
        <v>275</v>
      </c>
      <c r="E68" t="s">
        <v>412</v>
      </c>
      <c r="F68">
        <v>27</v>
      </c>
      <c r="G68">
        <f>COUNTIFS('Add New Company'!$C:$C,$C68,'Add New Company'!$A:$A,"&lt;&gt;",'Add New Company'!$K:$K,"&lt;&gt;")</f>
        <v>0</v>
      </c>
      <c r="H68">
        <f>COUNTIFS('Add New Company'!$C:$C,$C68,'Add New Company'!$K:$K,"Pass")</f>
        <v>0</v>
      </c>
      <c r="I68">
        <f>COUNTIFS('Add New Company'!$C:$C,$C68,'Add New Company'!$K:$K,"Fail")</f>
        <v>0</v>
      </c>
      <c r="J68">
        <f t="shared" si="3"/>
        <v>27</v>
      </c>
      <c r="K68">
        <f t="shared" si="4"/>
        <v>0</v>
      </c>
      <c r="L68" t="s">
        <v>27</v>
      </c>
      <c r="M68" t="str">
        <f t="shared" si="5"/>
        <v>Not Started</v>
      </c>
    </row>
    <row r="69" spans="1:13">
      <c r="A69" t="s">
        <v>283</v>
      </c>
      <c r="B69" t="s">
        <v>280</v>
      </c>
      <c r="C69" t="s">
        <v>281</v>
      </c>
      <c r="D69" t="s">
        <v>279</v>
      </c>
      <c r="E69" t="s">
        <v>413</v>
      </c>
      <c r="F69">
        <v>16</v>
      </c>
      <c r="G69">
        <f>COUNTIFS('Platform Configuration'!$C:$C,$C69,'Platform Configuration'!$A:$A,"&lt;&gt;",'Platform Configuration'!$K:$K,"&lt;&gt;")</f>
        <v>0</v>
      </c>
      <c r="H69">
        <f>COUNTIFS('Platform Configuration'!$C:$C,$C69,'Platform Configuration'!$K:$K,"Pass")</f>
        <v>0</v>
      </c>
      <c r="I69">
        <f>COUNTIFS('Platform Configuration'!$C:$C,$C69,'Platform Configuration'!$K:$K,"Fail")</f>
        <v>0</v>
      </c>
      <c r="J69">
        <f t="shared" si="3"/>
        <v>16</v>
      </c>
      <c r="K69">
        <f t="shared" si="4"/>
        <v>0</v>
      </c>
      <c r="L69" t="s">
        <v>27</v>
      </c>
      <c r="M69" t="str">
        <f t="shared" si="5"/>
        <v>Not Started</v>
      </c>
    </row>
    <row r="70" spans="1:13">
      <c r="A70" t="s">
        <v>288</v>
      </c>
      <c r="B70" t="s">
        <v>285</v>
      </c>
      <c r="C70" t="s">
        <v>286</v>
      </c>
      <c r="D70" t="s">
        <v>284</v>
      </c>
      <c r="E70" t="s">
        <v>414</v>
      </c>
      <c r="F70">
        <v>6</v>
      </c>
      <c r="G70">
        <f>COUNTIFS('Customer E2E User Journey'!$C:$C,$C70,'Customer E2E User Journey'!$A:$A,"&lt;&gt;",'Customer E2E User Journey'!$K:$K,"&lt;&gt;")</f>
        <v>0</v>
      </c>
      <c r="H70">
        <f>COUNTIFS('Customer E2E User Journey'!$C:$C,$C70,'Customer E2E User Journey'!$K:$K,"Pass")</f>
        <v>0</v>
      </c>
      <c r="I70">
        <f>COUNTIFS('Customer E2E User Journey'!$C:$C,$C70,'Customer E2E User Journey'!$K:$K,"Fail")</f>
        <v>0</v>
      </c>
      <c r="J70">
        <f t="shared" si="3"/>
        <v>6</v>
      </c>
      <c r="K70">
        <f t="shared" si="4"/>
        <v>0</v>
      </c>
      <c r="L70" t="s">
        <v>27</v>
      </c>
      <c r="M70" t="str">
        <f t="shared" si="5"/>
        <v>Not Started</v>
      </c>
    </row>
    <row r="71" spans="1:13">
      <c r="A71" t="s">
        <v>292</v>
      </c>
      <c r="B71" t="s">
        <v>285</v>
      </c>
      <c r="C71" t="s">
        <v>290</v>
      </c>
      <c r="D71" t="s">
        <v>289</v>
      </c>
      <c r="E71" t="s">
        <v>415</v>
      </c>
      <c r="F71">
        <v>6</v>
      </c>
      <c r="G71">
        <f>COUNTIFS('Admin E2E User Journey'!$C:$C,$C71,'Admin E2E User Journey'!$A:$A,"&lt;&gt;",'Admin E2E User Journey'!$K:$K,"&lt;&gt;")</f>
        <v>0</v>
      </c>
      <c r="H71">
        <f>COUNTIFS('Admin E2E User Journey'!$C:$C,$C71,'Admin E2E User Journey'!$K:$K,"Pass")</f>
        <v>0</v>
      </c>
      <c r="I71">
        <f>COUNTIFS('Admin E2E User Journey'!$C:$C,$C71,'Admin E2E User Journey'!$K:$K,"Fail")</f>
        <v>0</v>
      </c>
      <c r="J71">
        <f t="shared" si="3"/>
        <v>6</v>
      </c>
      <c r="K71">
        <f t="shared" si="4"/>
        <v>0</v>
      </c>
      <c r="L71" t="s">
        <v>27</v>
      </c>
      <c r="M71" t="str">
        <f t="shared" si="5"/>
        <v>Not Started</v>
      </c>
    </row>
    <row r="72" spans="1:13">
      <c r="A72" t="s">
        <v>416</v>
      </c>
      <c r="F72">
        <f>SUM(F2:F71)</f>
        <v>723</v>
      </c>
      <c r="G72" t="e">
        <f>SUM(G2:G71)</f>
        <v>#REF!</v>
      </c>
      <c r="H72" t="e">
        <f>SUM(H2:H71)</f>
        <v>#REF!</v>
      </c>
      <c r="I72" t="e">
        <f>SUM(I2:I71)</f>
        <v>#REF!</v>
      </c>
      <c r="J72" t="e">
        <f>SUM(J2:J71)</f>
        <v>#REF!</v>
      </c>
      <c r="K72">
        <f>IFERROR(G72/F72,0)</f>
        <v>0</v>
      </c>
    </row>
  </sheetData>
  <pageMargins left="0.75" right="0.75" top="1" bottom="1" header="0.511811023622047" footer="0.511811023622047"/>
  <headerFooter/>
  <ignoredErrors>
    <ignoredError sqref="A1:M72" numberStoredAsText="1"/>
  </ignoredError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35"/>
  <sheetViews>
    <sheetView workbookViewId="0">
      <selection activeCell="A1" sqref="A1"/>
    </sheetView>
  </sheetViews>
  <sheetFormatPr defaultColWidth="9" defaultRowHeight="15.6"/>
  <sheetData>
    <row r="1" spans="1:15">
      <c r="A1" t="s">
        <v>417</v>
      </c>
      <c r="B1" t="s">
        <v>418</v>
      </c>
      <c r="C1" t="s">
        <v>419</v>
      </c>
      <c r="D1" t="s">
        <v>420</v>
      </c>
      <c r="E1" t="s">
        <v>421</v>
      </c>
      <c r="F1" t="s">
        <v>422</v>
      </c>
      <c r="G1" t="s">
        <v>423</v>
      </c>
      <c r="H1" t="s">
        <v>424</v>
      </c>
      <c r="I1" t="s">
        <v>425</v>
      </c>
      <c r="J1" t="s">
        <v>426</v>
      </c>
      <c r="K1" t="s">
        <v>427</v>
      </c>
      <c r="L1" t="s">
        <v>428</v>
      </c>
      <c r="M1" t="s">
        <v>429</v>
      </c>
      <c r="N1" t="s">
        <v>430</v>
      </c>
      <c r="O1" t="s">
        <v>431</v>
      </c>
    </row>
    <row r="2" spans="1:15">
      <c r="A2" t="s">
        <v>432</v>
      </c>
      <c r="B2" t="s">
        <v>433</v>
      </c>
      <c r="C2" t="s">
        <v>24</v>
      </c>
      <c r="D2" t="s">
        <v>434</v>
      </c>
      <c r="E2" t="s">
        <v>435</v>
      </c>
      <c r="G2" t="s">
        <v>26</v>
      </c>
      <c r="H2" t="s">
        <v>436</v>
      </c>
      <c r="J2" t="s">
        <v>27</v>
      </c>
      <c r="K2" t="s">
        <v>437</v>
      </c>
      <c r="L2" t="s">
        <v>438</v>
      </c>
      <c r="M2" t="s">
        <v>437</v>
      </c>
      <c r="N2" t="s">
        <v>437</v>
      </c>
      <c r="O2" t="s">
        <v>439</v>
      </c>
    </row>
    <row r="3" spans="1:15">
      <c r="E3" t="s">
        <v>440</v>
      </c>
    </row>
    <row r="4" spans="1:15">
      <c r="E4" t="s">
        <v>441</v>
      </c>
    </row>
    <row r="5" spans="1:15">
      <c r="A5" t="s">
        <v>442</v>
      </c>
      <c r="B5" t="s">
        <v>433</v>
      </c>
      <c r="C5" t="s">
        <v>24</v>
      </c>
      <c r="D5" t="s">
        <v>443</v>
      </c>
      <c r="E5" t="s">
        <v>444</v>
      </c>
      <c r="F5" t="s">
        <v>445</v>
      </c>
      <c r="G5" t="s">
        <v>26</v>
      </c>
      <c r="H5" t="s">
        <v>446</v>
      </c>
      <c r="J5" t="s">
        <v>42</v>
      </c>
      <c r="K5" t="s">
        <v>447</v>
      </c>
      <c r="L5" t="s">
        <v>438</v>
      </c>
      <c r="M5" t="s">
        <v>448</v>
      </c>
      <c r="N5" t="s">
        <v>448</v>
      </c>
      <c r="O5" t="s">
        <v>449</v>
      </c>
    </row>
    <row r="6" spans="1:15">
      <c r="E6" t="s">
        <v>450</v>
      </c>
    </row>
    <row r="7" spans="1:15">
      <c r="E7" t="s">
        <v>451</v>
      </c>
    </row>
    <row r="8" spans="1:15">
      <c r="E8" t="s">
        <v>452</v>
      </c>
    </row>
    <row r="9" spans="1:15">
      <c r="A9" t="s">
        <v>453</v>
      </c>
      <c r="B9" t="s">
        <v>433</v>
      </c>
      <c r="C9" t="s">
        <v>24</v>
      </c>
      <c r="D9" t="s">
        <v>454</v>
      </c>
      <c r="E9" t="s">
        <v>444</v>
      </c>
      <c r="F9" t="s">
        <v>455</v>
      </c>
      <c r="G9" t="s">
        <v>26</v>
      </c>
      <c r="H9" t="s">
        <v>456</v>
      </c>
      <c r="J9" t="s">
        <v>42</v>
      </c>
      <c r="K9" t="s">
        <v>457</v>
      </c>
      <c r="L9" t="s">
        <v>438</v>
      </c>
      <c r="M9" t="s">
        <v>457</v>
      </c>
      <c r="N9" t="s">
        <v>457</v>
      </c>
      <c r="O9" t="s">
        <v>449</v>
      </c>
    </row>
    <row r="10" spans="1:15">
      <c r="E10" t="s">
        <v>458</v>
      </c>
    </row>
    <row r="11" spans="1:15">
      <c r="E11" t="s">
        <v>459</v>
      </c>
    </row>
    <row r="12" spans="1:15">
      <c r="A12" t="s">
        <v>460</v>
      </c>
      <c r="B12" t="s">
        <v>433</v>
      </c>
      <c r="C12" t="s">
        <v>24</v>
      </c>
      <c r="D12" t="s">
        <v>461</v>
      </c>
      <c r="E12" t="s">
        <v>462</v>
      </c>
      <c r="F12" t="s">
        <v>455</v>
      </c>
      <c r="G12" t="s">
        <v>26</v>
      </c>
      <c r="H12" t="s">
        <v>463</v>
      </c>
      <c r="J12" t="s">
        <v>464</v>
      </c>
      <c r="K12" t="s">
        <v>465</v>
      </c>
      <c r="L12" t="s">
        <v>438</v>
      </c>
      <c r="M12" t="s">
        <v>465</v>
      </c>
      <c r="N12" t="s">
        <v>465</v>
      </c>
      <c r="O12" t="s">
        <v>466</v>
      </c>
    </row>
    <row r="13" spans="1:15">
      <c r="E13" t="s">
        <v>467</v>
      </c>
    </row>
    <row r="14" spans="1:15">
      <c r="E14" t="s">
        <v>468</v>
      </c>
    </row>
    <row r="15" spans="1:15">
      <c r="E15" t="s">
        <v>469</v>
      </c>
    </row>
    <row r="16" spans="1:15">
      <c r="A16" t="s">
        <v>470</v>
      </c>
      <c r="B16" t="s">
        <v>433</v>
      </c>
      <c r="C16" t="s">
        <v>24</v>
      </c>
      <c r="D16" t="s">
        <v>471</v>
      </c>
      <c r="E16" t="s">
        <v>444</v>
      </c>
      <c r="F16" t="s">
        <v>445</v>
      </c>
      <c r="G16" t="s">
        <v>26</v>
      </c>
      <c r="H16" t="s">
        <v>472</v>
      </c>
      <c r="J16" t="s">
        <v>464</v>
      </c>
      <c r="K16" t="s">
        <v>473</v>
      </c>
      <c r="L16" t="s">
        <v>438</v>
      </c>
      <c r="M16" t="s">
        <v>474</v>
      </c>
      <c r="N16" t="s">
        <v>473</v>
      </c>
      <c r="O16" t="s">
        <v>475</v>
      </c>
    </row>
    <row r="17" spans="1:15">
      <c r="E17" t="s">
        <v>476</v>
      </c>
    </row>
    <row r="18" spans="1:15">
      <c r="E18" t="s">
        <v>477</v>
      </c>
    </row>
    <row r="19" spans="1:15">
      <c r="E19" t="s">
        <v>478</v>
      </c>
    </row>
    <row r="20" spans="1:15">
      <c r="A20" t="s">
        <v>479</v>
      </c>
      <c r="B20" t="s">
        <v>433</v>
      </c>
      <c r="C20" t="s">
        <v>24</v>
      </c>
      <c r="D20" t="s">
        <v>480</v>
      </c>
      <c r="E20" t="s">
        <v>444</v>
      </c>
      <c r="F20" t="s">
        <v>445</v>
      </c>
      <c r="G20" t="s">
        <v>26</v>
      </c>
      <c r="H20" t="s">
        <v>481</v>
      </c>
      <c r="J20" t="s">
        <v>42</v>
      </c>
    </row>
    <row r="21" spans="1:15">
      <c r="E21" t="s">
        <v>482</v>
      </c>
    </row>
    <row r="22" spans="1:15">
      <c r="A22" t="s">
        <v>483</v>
      </c>
      <c r="B22" t="s">
        <v>433</v>
      </c>
      <c r="C22" t="s">
        <v>24</v>
      </c>
      <c r="D22" t="s">
        <v>484</v>
      </c>
      <c r="E22" t="s">
        <v>444</v>
      </c>
      <c r="F22" t="s">
        <v>445</v>
      </c>
      <c r="G22" t="s">
        <v>26</v>
      </c>
      <c r="H22" t="s">
        <v>485</v>
      </c>
      <c r="J22" t="s">
        <v>464</v>
      </c>
    </row>
    <row r="23" spans="1:15">
      <c r="E23" t="s">
        <v>486</v>
      </c>
    </row>
    <row r="24" spans="1:15">
      <c r="A24" t="s">
        <v>487</v>
      </c>
      <c r="B24" t="s">
        <v>433</v>
      </c>
      <c r="C24" t="s">
        <v>24</v>
      </c>
      <c r="D24" t="s">
        <v>488</v>
      </c>
      <c r="E24" t="s">
        <v>489</v>
      </c>
      <c r="G24" t="s">
        <v>26</v>
      </c>
      <c r="H24" t="s">
        <v>490</v>
      </c>
      <c r="J24" t="s">
        <v>27</v>
      </c>
    </row>
    <row r="25" spans="1:15">
      <c r="E25" t="s">
        <v>491</v>
      </c>
    </row>
    <row r="26" spans="1:15">
      <c r="E26" t="s">
        <v>492</v>
      </c>
    </row>
    <row r="27" spans="1:15">
      <c r="A27" t="s">
        <v>493</v>
      </c>
      <c r="B27" t="s">
        <v>433</v>
      </c>
      <c r="C27" t="s">
        <v>33</v>
      </c>
      <c r="D27" t="s">
        <v>494</v>
      </c>
      <c r="E27" t="s">
        <v>489</v>
      </c>
      <c r="G27" t="s">
        <v>26</v>
      </c>
      <c r="H27" t="s">
        <v>495</v>
      </c>
      <c r="J27" t="s">
        <v>42</v>
      </c>
    </row>
    <row r="28" spans="1:15">
      <c r="E28" t="s">
        <v>496</v>
      </c>
    </row>
    <row r="29" spans="1:15">
      <c r="A29" t="s">
        <v>497</v>
      </c>
      <c r="B29" t="s">
        <v>433</v>
      </c>
      <c r="C29" t="s">
        <v>33</v>
      </c>
      <c r="D29" t="s">
        <v>498</v>
      </c>
      <c r="E29" t="s">
        <v>499</v>
      </c>
      <c r="F29" t="s">
        <v>500</v>
      </c>
      <c r="G29" t="s">
        <v>26</v>
      </c>
      <c r="H29" t="s">
        <v>501</v>
      </c>
      <c r="J29" t="s">
        <v>27</v>
      </c>
      <c r="K29" t="s">
        <v>502</v>
      </c>
      <c r="L29" t="s">
        <v>438</v>
      </c>
      <c r="M29" t="s">
        <v>503</v>
      </c>
      <c r="N29" t="s">
        <v>502</v>
      </c>
      <c r="O29" t="s">
        <v>504</v>
      </c>
    </row>
    <row r="30" spans="1:15">
      <c r="E30" t="s">
        <v>505</v>
      </c>
    </row>
    <row r="31" spans="1:15">
      <c r="E31" t="s">
        <v>506</v>
      </c>
    </row>
    <row r="32" spans="1:15">
      <c r="A32" t="s">
        <v>507</v>
      </c>
      <c r="B32" t="s">
        <v>433</v>
      </c>
      <c r="C32" t="s">
        <v>33</v>
      </c>
      <c r="D32" t="s">
        <v>508</v>
      </c>
      <c r="E32" t="s">
        <v>509</v>
      </c>
      <c r="F32" t="s">
        <v>500</v>
      </c>
      <c r="G32" t="s">
        <v>26</v>
      </c>
      <c r="H32" t="s">
        <v>510</v>
      </c>
      <c r="J32" t="s">
        <v>42</v>
      </c>
      <c r="K32" t="s">
        <v>511</v>
      </c>
      <c r="L32" t="s">
        <v>438</v>
      </c>
      <c r="M32" t="s">
        <v>512</v>
      </c>
      <c r="N32" t="s">
        <v>511</v>
      </c>
      <c r="O32" t="s">
        <v>513</v>
      </c>
    </row>
    <row r="33" spans="1:15">
      <c r="E33" t="s">
        <v>514</v>
      </c>
    </row>
    <row r="34" spans="1:15">
      <c r="E34" t="s">
        <v>515</v>
      </c>
    </row>
    <row r="35" spans="1:15">
      <c r="E35" t="s">
        <v>516</v>
      </c>
    </row>
    <row r="36" spans="1:15">
      <c r="A36" t="s">
        <v>517</v>
      </c>
      <c r="B36" t="s">
        <v>433</v>
      </c>
      <c r="C36" t="s">
        <v>33</v>
      </c>
      <c r="D36" t="s">
        <v>518</v>
      </c>
      <c r="E36" t="s">
        <v>519</v>
      </c>
      <c r="F36" t="s">
        <v>520</v>
      </c>
      <c r="G36" t="s">
        <v>521</v>
      </c>
      <c r="H36" t="s">
        <v>522</v>
      </c>
      <c r="J36" t="s">
        <v>27</v>
      </c>
      <c r="K36" t="s">
        <v>523</v>
      </c>
      <c r="L36" t="s">
        <v>438</v>
      </c>
      <c r="M36" t="s">
        <v>524</v>
      </c>
      <c r="N36" t="s">
        <v>523</v>
      </c>
      <c r="O36" t="s">
        <v>525</v>
      </c>
    </row>
    <row r="37" spans="1:15">
      <c r="E37" t="s">
        <v>526</v>
      </c>
    </row>
    <row r="38" spans="1:15">
      <c r="E38" t="s">
        <v>506</v>
      </c>
    </row>
    <row r="39" spans="1:15">
      <c r="A39" t="s">
        <v>527</v>
      </c>
      <c r="B39" t="s">
        <v>433</v>
      </c>
      <c r="C39" t="s">
        <v>33</v>
      </c>
      <c r="D39" t="s">
        <v>528</v>
      </c>
      <c r="E39" t="s">
        <v>529</v>
      </c>
      <c r="F39" t="s">
        <v>530</v>
      </c>
      <c r="G39" t="s">
        <v>521</v>
      </c>
      <c r="H39" t="s">
        <v>531</v>
      </c>
      <c r="J39" t="s">
        <v>27</v>
      </c>
    </row>
    <row r="40" spans="1:15">
      <c r="E40" t="s">
        <v>532</v>
      </c>
    </row>
    <row r="41" spans="1:15">
      <c r="E41" t="s">
        <v>533</v>
      </c>
    </row>
    <row r="42" spans="1:15">
      <c r="E42" t="s">
        <v>506</v>
      </c>
    </row>
    <row r="43" spans="1:15">
      <c r="A43" t="s">
        <v>534</v>
      </c>
      <c r="B43" t="s">
        <v>433</v>
      </c>
      <c r="C43" t="s">
        <v>33</v>
      </c>
      <c r="D43" t="s">
        <v>535</v>
      </c>
      <c r="E43" t="s">
        <v>529</v>
      </c>
      <c r="F43" t="s">
        <v>536</v>
      </c>
      <c r="G43" t="s">
        <v>521</v>
      </c>
      <c r="H43" t="s">
        <v>537</v>
      </c>
      <c r="J43" t="s">
        <v>42</v>
      </c>
      <c r="K43" t="s">
        <v>538</v>
      </c>
      <c r="L43" t="s">
        <v>438</v>
      </c>
      <c r="M43" t="s">
        <v>539</v>
      </c>
      <c r="N43" t="s">
        <v>538</v>
      </c>
      <c r="O43" t="s">
        <v>540</v>
      </c>
    </row>
    <row r="44" spans="1:15">
      <c r="E44" t="s">
        <v>541</v>
      </c>
    </row>
    <row r="45" spans="1:15">
      <c r="E45" t="s">
        <v>506</v>
      </c>
    </row>
    <row r="46" spans="1:15">
      <c r="A46" t="s">
        <v>542</v>
      </c>
      <c r="B46" t="s">
        <v>433</v>
      </c>
      <c r="C46" t="s">
        <v>33</v>
      </c>
      <c r="D46" t="s">
        <v>543</v>
      </c>
      <c r="E46" t="s">
        <v>529</v>
      </c>
      <c r="F46" t="s">
        <v>544</v>
      </c>
      <c r="G46" t="s">
        <v>521</v>
      </c>
      <c r="H46" t="s">
        <v>545</v>
      </c>
      <c r="J46" t="s">
        <v>42</v>
      </c>
      <c r="M46" t="s">
        <v>546</v>
      </c>
      <c r="N46" t="s">
        <v>546</v>
      </c>
      <c r="O46" t="s">
        <v>547</v>
      </c>
    </row>
    <row r="47" spans="1:15">
      <c r="E47" t="s">
        <v>548</v>
      </c>
    </row>
    <row r="48" spans="1:15">
      <c r="E48" t="s">
        <v>549</v>
      </c>
    </row>
    <row r="49" spans="1:15">
      <c r="E49" t="s">
        <v>506</v>
      </c>
    </row>
    <row r="50" spans="1:15">
      <c r="A50" t="s">
        <v>550</v>
      </c>
      <c r="B50" t="s">
        <v>433</v>
      </c>
      <c r="C50" t="s">
        <v>33</v>
      </c>
      <c r="D50" t="s">
        <v>551</v>
      </c>
      <c r="E50" t="s">
        <v>529</v>
      </c>
      <c r="F50" t="s">
        <v>552</v>
      </c>
      <c r="G50" t="s">
        <v>521</v>
      </c>
      <c r="H50" t="s">
        <v>553</v>
      </c>
      <c r="J50" t="s">
        <v>42</v>
      </c>
    </row>
    <row r="51" spans="1:15">
      <c r="E51" t="s">
        <v>554</v>
      </c>
    </row>
    <row r="52" spans="1:15">
      <c r="E52" t="s">
        <v>555</v>
      </c>
    </row>
    <row r="53" spans="1:15">
      <c r="E53" t="s">
        <v>506</v>
      </c>
    </row>
    <row r="54" spans="1:15">
      <c r="A54" t="s">
        <v>556</v>
      </c>
      <c r="B54" t="s">
        <v>433</v>
      </c>
      <c r="C54" t="s">
        <v>33</v>
      </c>
      <c r="D54" t="s">
        <v>557</v>
      </c>
      <c r="E54" t="s">
        <v>529</v>
      </c>
      <c r="G54" t="s">
        <v>521</v>
      </c>
      <c r="H54" t="s">
        <v>558</v>
      </c>
      <c r="J54" t="s">
        <v>464</v>
      </c>
    </row>
    <row r="55" spans="1:15">
      <c r="E55" t="s">
        <v>559</v>
      </c>
    </row>
    <row r="56" spans="1:15">
      <c r="E56" t="s">
        <v>506</v>
      </c>
    </row>
    <row r="57" spans="1:15">
      <c r="A57" t="s">
        <v>560</v>
      </c>
      <c r="B57" t="s">
        <v>433</v>
      </c>
      <c r="C57" t="s">
        <v>33</v>
      </c>
      <c r="D57" t="s">
        <v>561</v>
      </c>
      <c r="E57" t="s">
        <v>519</v>
      </c>
      <c r="F57" t="s">
        <v>562</v>
      </c>
      <c r="G57" t="s">
        <v>563</v>
      </c>
      <c r="H57" t="s">
        <v>564</v>
      </c>
      <c r="J57" t="s">
        <v>27</v>
      </c>
    </row>
    <row r="58" spans="1:15">
      <c r="E58" t="s">
        <v>565</v>
      </c>
    </row>
    <row r="59" spans="1:15">
      <c r="A59" t="s">
        <v>566</v>
      </c>
      <c r="B59" t="s">
        <v>433</v>
      </c>
      <c r="C59" t="s">
        <v>33</v>
      </c>
      <c r="D59" t="s">
        <v>567</v>
      </c>
      <c r="E59" t="s">
        <v>568</v>
      </c>
      <c r="F59" t="s">
        <v>569</v>
      </c>
      <c r="G59" t="s">
        <v>521</v>
      </c>
      <c r="H59" t="s">
        <v>570</v>
      </c>
      <c r="J59" t="s">
        <v>27</v>
      </c>
    </row>
    <row r="60" spans="1:15">
      <c r="E60" t="s">
        <v>571</v>
      </c>
    </row>
    <row r="61" spans="1:15">
      <c r="E61" t="s">
        <v>506</v>
      </c>
    </row>
    <row r="62" spans="1:15">
      <c r="A62" t="s">
        <v>572</v>
      </c>
      <c r="B62" t="s">
        <v>433</v>
      </c>
      <c r="C62" t="s">
        <v>33</v>
      </c>
      <c r="D62" t="s">
        <v>573</v>
      </c>
      <c r="E62" t="s">
        <v>529</v>
      </c>
      <c r="F62" t="s">
        <v>574</v>
      </c>
      <c r="G62" t="s">
        <v>75</v>
      </c>
      <c r="H62" t="s">
        <v>575</v>
      </c>
      <c r="J62" t="s">
        <v>27</v>
      </c>
      <c r="K62" t="s">
        <v>576</v>
      </c>
      <c r="L62" t="s">
        <v>438</v>
      </c>
      <c r="M62" t="s">
        <v>577</v>
      </c>
      <c r="N62" t="s">
        <v>576</v>
      </c>
      <c r="O62" t="s">
        <v>578</v>
      </c>
    </row>
    <row r="63" spans="1:15">
      <c r="E63" t="s">
        <v>579</v>
      </c>
    </row>
    <row r="64" spans="1:15">
      <c r="E64" t="s">
        <v>580</v>
      </c>
    </row>
    <row r="65" spans="1:15">
      <c r="E65" t="s">
        <v>506</v>
      </c>
    </row>
    <row r="66" spans="1:15">
      <c r="A66" t="s">
        <v>581</v>
      </c>
      <c r="B66" t="s">
        <v>433</v>
      </c>
      <c r="C66" t="s">
        <v>33</v>
      </c>
      <c r="D66" t="s">
        <v>582</v>
      </c>
      <c r="E66" t="s">
        <v>529</v>
      </c>
      <c r="F66" t="s">
        <v>583</v>
      </c>
      <c r="G66" t="s">
        <v>75</v>
      </c>
      <c r="H66" t="s">
        <v>584</v>
      </c>
      <c r="J66" t="s">
        <v>27</v>
      </c>
      <c r="K66" t="s">
        <v>585</v>
      </c>
      <c r="L66" t="s">
        <v>438</v>
      </c>
      <c r="M66" t="s">
        <v>585</v>
      </c>
      <c r="N66" t="s">
        <v>585</v>
      </c>
      <c r="O66" t="s">
        <v>586</v>
      </c>
    </row>
    <row r="67" spans="1:15">
      <c r="E67" t="s">
        <v>587</v>
      </c>
    </row>
    <row r="68" spans="1:15">
      <c r="E68" t="s">
        <v>506</v>
      </c>
    </row>
    <row r="69" spans="1:15">
      <c r="A69" t="s">
        <v>588</v>
      </c>
      <c r="B69" t="s">
        <v>433</v>
      </c>
      <c r="C69" t="s">
        <v>33</v>
      </c>
      <c r="D69" t="s">
        <v>589</v>
      </c>
      <c r="E69" t="s">
        <v>519</v>
      </c>
      <c r="F69" t="s">
        <v>590</v>
      </c>
      <c r="G69" t="s">
        <v>26</v>
      </c>
      <c r="H69" t="s">
        <v>591</v>
      </c>
      <c r="J69" t="s">
        <v>464</v>
      </c>
      <c r="K69" t="s">
        <v>592</v>
      </c>
      <c r="L69" t="s">
        <v>438</v>
      </c>
      <c r="M69" t="s">
        <v>593</v>
      </c>
      <c r="N69" t="s">
        <v>592</v>
      </c>
      <c r="O69" t="s">
        <v>504</v>
      </c>
    </row>
    <row r="70" spans="1:15">
      <c r="E70" t="s">
        <v>594</v>
      </c>
    </row>
    <row r="71" spans="1:15">
      <c r="E71" t="s">
        <v>595</v>
      </c>
    </row>
    <row r="72" spans="1:15">
      <c r="E72" t="s">
        <v>506</v>
      </c>
    </row>
    <row r="73" spans="1:15">
      <c r="A73" t="s">
        <v>596</v>
      </c>
      <c r="B73" t="s">
        <v>433</v>
      </c>
      <c r="C73" t="s">
        <v>33</v>
      </c>
      <c r="D73" t="s">
        <v>597</v>
      </c>
      <c r="E73" t="s">
        <v>598</v>
      </c>
      <c r="F73" t="s">
        <v>599</v>
      </c>
      <c r="G73" t="s">
        <v>26</v>
      </c>
      <c r="H73" t="s">
        <v>600</v>
      </c>
      <c r="J73" t="s">
        <v>464</v>
      </c>
      <c r="K73" t="s">
        <v>601</v>
      </c>
      <c r="L73" t="s">
        <v>438</v>
      </c>
      <c r="M73" t="s">
        <v>602</v>
      </c>
      <c r="N73" t="s">
        <v>601</v>
      </c>
      <c r="O73" t="s">
        <v>603</v>
      </c>
    </row>
    <row r="74" spans="1:15">
      <c r="E74" t="s">
        <v>604</v>
      </c>
    </row>
    <row r="75" spans="1:15">
      <c r="E75" t="s">
        <v>595</v>
      </c>
    </row>
    <row r="76" spans="1:15">
      <c r="E76" t="s">
        <v>506</v>
      </c>
    </row>
    <row r="77" spans="1:15">
      <c r="A77" t="s">
        <v>605</v>
      </c>
      <c r="B77" t="s">
        <v>433</v>
      </c>
      <c r="C77" t="s">
        <v>33</v>
      </c>
      <c r="D77" t="s">
        <v>606</v>
      </c>
      <c r="E77" t="s">
        <v>529</v>
      </c>
      <c r="F77" t="s">
        <v>607</v>
      </c>
      <c r="G77" t="s">
        <v>521</v>
      </c>
      <c r="H77" t="s">
        <v>608</v>
      </c>
      <c r="J77" t="s">
        <v>464</v>
      </c>
    </row>
    <row r="78" spans="1:15">
      <c r="E78" t="s">
        <v>609</v>
      </c>
    </row>
    <row r="79" spans="1:15">
      <c r="E79" t="s">
        <v>506</v>
      </c>
    </row>
    <row r="80" spans="1:15">
      <c r="A80" t="s">
        <v>610</v>
      </c>
      <c r="B80" t="s">
        <v>433</v>
      </c>
      <c r="C80" t="s">
        <v>33</v>
      </c>
      <c r="D80" t="s">
        <v>611</v>
      </c>
      <c r="E80" t="s">
        <v>612</v>
      </c>
      <c r="F80" t="s">
        <v>613</v>
      </c>
      <c r="G80" t="s">
        <v>521</v>
      </c>
      <c r="H80" t="s">
        <v>614</v>
      </c>
      <c r="J80" t="s">
        <v>42</v>
      </c>
    </row>
    <row r="81" spans="1:15">
      <c r="E81" t="s">
        <v>615</v>
      </c>
    </row>
    <row r="82" spans="1:15">
      <c r="E82" t="s">
        <v>616</v>
      </c>
    </row>
    <row r="83" spans="1:15">
      <c r="A83" t="s">
        <v>617</v>
      </c>
      <c r="B83" t="s">
        <v>433</v>
      </c>
      <c r="C83" t="s">
        <v>33</v>
      </c>
      <c r="D83" t="s">
        <v>618</v>
      </c>
      <c r="E83" t="s">
        <v>619</v>
      </c>
      <c r="G83" t="s">
        <v>26</v>
      </c>
      <c r="H83" t="s">
        <v>620</v>
      </c>
      <c r="J83" t="s">
        <v>27</v>
      </c>
    </row>
    <row r="84" spans="1:15">
      <c r="E84" t="s">
        <v>621</v>
      </c>
    </row>
    <row r="85" spans="1:15">
      <c r="A85" t="s">
        <v>622</v>
      </c>
      <c r="B85" t="s">
        <v>433</v>
      </c>
      <c r="C85" t="s">
        <v>33</v>
      </c>
      <c r="D85" t="s">
        <v>623</v>
      </c>
      <c r="E85" t="s">
        <v>624</v>
      </c>
      <c r="F85" t="s">
        <v>625</v>
      </c>
      <c r="G85" t="s">
        <v>26</v>
      </c>
      <c r="H85" t="s">
        <v>626</v>
      </c>
      <c r="J85" t="s">
        <v>27</v>
      </c>
    </row>
    <row r="86" spans="1:15">
      <c r="E86" t="s">
        <v>621</v>
      </c>
    </row>
    <row r="87" spans="1:15">
      <c r="E87" t="s">
        <v>627</v>
      </c>
    </row>
    <row r="88" spans="1:15">
      <c r="A88" t="s">
        <v>628</v>
      </c>
      <c r="B88" t="s">
        <v>433</v>
      </c>
      <c r="C88" t="s">
        <v>33</v>
      </c>
      <c r="D88" t="s">
        <v>629</v>
      </c>
      <c r="E88" t="s">
        <v>630</v>
      </c>
      <c r="G88" t="s">
        <v>521</v>
      </c>
      <c r="H88" t="s">
        <v>631</v>
      </c>
      <c r="J88" t="s">
        <v>42</v>
      </c>
    </row>
    <row r="89" spans="1:15">
      <c r="E89" t="s">
        <v>621</v>
      </c>
    </row>
    <row r="90" spans="1:15">
      <c r="E90" t="s">
        <v>632</v>
      </c>
    </row>
    <row r="91" spans="1:15">
      <c r="A91" t="s">
        <v>633</v>
      </c>
      <c r="B91" t="s">
        <v>433</v>
      </c>
      <c r="C91" t="s">
        <v>33</v>
      </c>
      <c r="D91" t="s">
        <v>634</v>
      </c>
      <c r="E91" t="s">
        <v>529</v>
      </c>
      <c r="G91" t="s">
        <v>26</v>
      </c>
      <c r="H91" t="s">
        <v>635</v>
      </c>
      <c r="J91" t="s">
        <v>42</v>
      </c>
      <c r="K91" t="s">
        <v>636</v>
      </c>
      <c r="L91" t="s">
        <v>438</v>
      </c>
      <c r="M91" t="s">
        <v>637</v>
      </c>
      <c r="N91" t="s">
        <v>636</v>
      </c>
      <c r="O91" t="s">
        <v>638</v>
      </c>
    </row>
    <row r="92" spans="1:15">
      <c r="E92" t="s">
        <v>639</v>
      </c>
    </row>
    <row r="93" spans="1:15">
      <c r="A93" t="s">
        <v>640</v>
      </c>
      <c r="B93" t="s">
        <v>433</v>
      </c>
      <c r="C93" t="s">
        <v>33</v>
      </c>
      <c r="D93" t="s">
        <v>641</v>
      </c>
      <c r="E93" t="s">
        <v>642</v>
      </c>
      <c r="F93" t="s">
        <v>643</v>
      </c>
      <c r="G93" t="s">
        <v>521</v>
      </c>
      <c r="H93" t="s">
        <v>644</v>
      </c>
      <c r="J93" t="s">
        <v>27</v>
      </c>
    </row>
    <row r="94" spans="1:15">
      <c r="E94" t="s">
        <v>645</v>
      </c>
    </row>
    <row r="95" spans="1:15">
      <c r="E95" t="s">
        <v>646</v>
      </c>
    </row>
    <row r="96" spans="1:15">
      <c r="E96" t="s">
        <v>506</v>
      </c>
    </row>
    <row r="97" spans="1:10">
      <c r="A97" t="s">
        <v>647</v>
      </c>
      <c r="B97" t="s">
        <v>433</v>
      </c>
      <c r="C97" t="s">
        <v>33</v>
      </c>
      <c r="D97" t="s">
        <v>648</v>
      </c>
      <c r="E97" t="s">
        <v>649</v>
      </c>
      <c r="G97" t="s">
        <v>521</v>
      </c>
      <c r="H97" t="s">
        <v>650</v>
      </c>
      <c r="J97" t="s">
        <v>42</v>
      </c>
    </row>
    <row r="98" spans="1:10">
      <c r="E98" t="s">
        <v>651</v>
      </c>
    </row>
    <row r="99" spans="1:10">
      <c r="A99" t="s">
        <v>652</v>
      </c>
      <c r="B99" t="s">
        <v>433</v>
      </c>
      <c r="C99" t="s">
        <v>29</v>
      </c>
      <c r="D99" t="s">
        <v>653</v>
      </c>
      <c r="E99" t="s">
        <v>489</v>
      </c>
      <c r="G99" t="s">
        <v>26</v>
      </c>
      <c r="H99" t="s">
        <v>654</v>
      </c>
      <c r="J99" t="s">
        <v>42</v>
      </c>
    </row>
    <row r="100" spans="1:10">
      <c r="E100" t="s">
        <v>645</v>
      </c>
    </row>
    <row r="101" spans="1:10">
      <c r="A101" t="s">
        <v>655</v>
      </c>
      <c r="B101" t="s">
        <v>433</v>
      </c>
      <c r="C101" t="s">
        <v>29</v>
      </c>
      <c r="D101" t="s">
        <v>498</v>
      </c>
      <c r="E101" t="s">
        <v>656</v>
      </c>
      <c r="F101" t="s">
        <v>657</v>
      </c>
      <c r="G101" t="s">
        <v>26</v>
      </c>
      <c r="H101" t="s">
        <v>658</v>
      </c>
      <c r="J101" t="s">
        <v>27</v>
      </c>
    </row>
    <row r="102" spans="1:10">
      <c r="E102" t="s">
        <v>505</v>
      </c>
    </row>
    <row r="103" spans="1:10">
      <c r="E103" t="s">
        <v>506</v>
      </c>
    </row>
    <row r="104" spans="1:10">
      <c r="A104" t="s">
        <v>659</v>
      </c>
      <c r="B104" t="s">
        <v>433</v>
      </c>
      <c r="C104" t="s">
        <v>29</v>
      </c>
      <c r="D104" t="s">
        <v>508</v>
      </c>
      <c r="E104" t="s">
        <v>660</v>
      </c>
      <c r="F104" t="s">
        <v>657</v>
      </c>
      <c r="G104" t="s">
        <v>26</v>
      </c>
      <c r="H104" t="s">
        <v>510</v>
      </c>
      <c r="J104" t="s">
        <v>42</v>
      </c>
    </row>
    <row r="105" spans="1:10">
      <c r="E105" t="s">
        <v>514</v>
      </c>
    </row>
    <row r="106" spans="1:10">
      <c r="E106" t="s">
        <v>515</v>
      </c>
    </row>
    <row r="107" spans="1:10">
      <c r="E107" t="s">
        <v>516</v>
      </c>
    </row>
    <row r="108" spans="1:10">
      <c r="A108" t="s">
        <v>661</v>
      </c>
      <c r="B108" t="s">
        <v>433</v>
      </c>
      <c r="C108" t="s">
        <v>29</v>
      </c>
      <c r="D108" t="s">
        <v>518</v>
      </c>
      <c r="E108" t="s">
        <v>662</v>
      </c>
      <c r="F108" t="s">
        <v>663</v>
      </c>
      <c r="G108" t="s">
        <v>521</v>
      </c>
      <c r="H108" t="s">
        <v>522</v>
      </c>
      <c r="J108" t="s">
        <v>27</v>
      </c>
    </row>
    <row r="109" spans="1:10">
      <c r="E109" t="s">
        <v>526</v>
      </c>
    </row>
    <row r="110" spans="1:10">
      <c r="E110" t="s">
        <v>506</v>
      </c>
    </row>
    <row r="111" spans="1:10">
      <c r="A111" t="s">
        <v>664</v>
      </c>
      <c r="B111" t="s">
        <v>433</v>
      </c>
      <c r="C111" t="s">
        <v>29</v>
      </c>
      <c r="D111" t="s">
        <v>528</v>
      </c>
      <c r="E111" t="s">
        <v>665</v>
      </c>
      <c r="F111" t="s">
        <v>530</v>
      </c>
      <c r="G111" t="s">
        <v>521</v>
      </c>
      <c r="H111" t="s">
        <v>531</v>
      </c>
      <c r="J111" t="s">
        <v>27</v>
      </c>
    </row>
    <row r="112" spans="1:10">
      <c r="E112" t="s">
        <v>532</v>
      </c>
    </row>
    <row r="113" spans="1:10">
      <c r="E113" t="s">
        <v>533</v>
      </c>
    </row>
    <row r="114" spans="1:10">
      <c r="E114" t="s">
        <v>506</v>
      </c>
    </row>
    <row r="115" spans="1:10">
      <c r="A115" t="s">
        <v>666</v>
      </c>
      <c r="B115" t="s">
        <v>433</v>
      </c>
      <c r="C115" t="s">
        <v>29</v>
      </c>
      <c r="D115" t="s">
        <v>535</v>
      </c>
      <c r="E115" t="s">
        <v>665</v>
      </c>
      <c r="F115" t="s">
        <v>667</v>
      </c>
      <c r="G115" t="s">
        <v>521</v>
      </c>
      <c r="H115" t="s">
        <v>537</v>
      </c>
      <c r="J115" t="s">
        <v>42</v>
      </c>
    </row>
    <row r="116" spans="1:10">
      <c r="E116" t="s">
        <v>541</v>
      </c>
    </row>
    <row r="117" spans="1:10">
      <c r="E117" t="s">
        <v>506</v>
      </c>
    </row>
    <row r="118" spans="1:10">
      <c r="A118" t="s">
        <v>668</v>
      </c>
      <c r="B118" t="s">
        <v>433</v>
      </c>
      <c r="C118" t="s">
        <v>29</v>
      </c>
      <c r="D118" t="s">
        <v>543</v>
      </c>
      <c r="E118" t="s">
        <v>665</v>
      </c>
      <c r="F118" t="s">
        <v>669</v>
      </c>
      <c r="G118" t="s">
        <v>521</v>
      </c>
      <c r="H118" t="s">
        <v>545</v>
      </c>
      <c r="J118" t="s">
        <v>42</v>
      </c>
    </row>
    <row r="119" spans="1:10">
      <c r="E119" t="s">
        <v>548</v>
      </c>
    </row>
    <row r="120" spans="1:10">
      <c r="E120" t="s">
        <v>549</v>
      </c>
    </row>
    <row r="121" spans="1:10">
      <c r="E121" t="s">
        <v>506</v>
      </c>
    </row>
    <row r="122" spans="1:10">
      <c r="A122" t="s">
        <v>670</v>
      </c>
      <c r="B122" t="s">
        <v>433</v>
      </c>
      <c r="C122" t="s">
        <v>29</v>
      </c>
      <c r="D122" t="s">
        <v>551</v>
      </c>
      <c r="E122" t="s">
        <v>665</v>
      </c>
      <c r="F122" t="s">
        <v>671</v>
      </c>
      <c r="G122" t="s">
        <v>521</v>
      </c>
      <c r="H122" t="s">
        <v>553</v>
      </c>
      <c r="J122" t="s">
        <v>42</v>
      </c>
    </row>
    <row r="123" spans="1:10">
      <c r="E123" t="s">
        <v>554</v>
      </c>
    </row>
    <row r="124" spans="1:10">
      <c r="E124" t="s">
        <v>555</v>
      </c>
    </row>
    <row r="125" spans="1:10">
      <c r="E125" t="s">
        <v>506</v>
      </c>
    </row>
    <row r="126" spans="1:10">
      <c r="A126" t="s">
        <v>672</v>
      </c>
      <c r="B126" t="s">
        <v>433</v>
      </c>
      <c r="C126" t="s">
        <v>29</v>
      </c>
      <c r="D126" t="s">
        <v>557</v>
      </c>
      <c r="E126" t="s">
        <v>665</v>
      </c>
      <c r="G126" t="s">
        <v>521</v>
      </c>
      <c r="H126" t="s">
        <v>558</v>
      </c>
      <c r="J126" t="s">
        <v>464</v>
      </c>
    </row>
    <row r="127" spans="1:10">
      <c r="E127" t="s">
        <v>559</v>
      </c>
    </row>
    <row r="128" spans="1:10">
      <c r="E128" t="s">
        <v>506</v>
      </c>
    </row>
    <row r="129" spans="1:10">
      <c r="A129" t="s">
        <v>673</v>
      </c>
      <c r="B129" t="s">
        <v>433</v>
      </c>
      <c r="C129" t="s">
        <v>29</v>
      </c>
      <c r="D129" t="s">
        <v>561</v>
      </c>
      <c r="E129" t="s">
        <v>662</v>
      </c>
      <c r="F129" t="s">
        <v>674</v>
      </c>
      <c r="G129" t="s">
        <v>563</v>
      </c>
      <c r="H129" t="s">
        <v>564</v>
      </c>
      <c r="J129" t="s">
        <v>27</v>
      </c>
    </row>
    <row r="130" spans="1:10">
      <c r="E130" t="s">
        <v>565</v>
      </c>
    </row>
    <row r="131" spans="1:10">
      <c r="A131" t="s">
        <v>675</v>
      </c>
      <c r="B131" t="s">
        <v>433</v>
      </c>
      <c r="C131" t="s">
        <v>29</v>
      </c>
      <c r="D131" t="s">
        <v>567</v>
      </c>
      <c r="E131" t="s">
        <v>676</v>
      </c>
      <c r="F131" t="s">
        <v>677</v>
      </c>
      <c r="G131" t="s">
        <v>521</v>
      </c>
      <c r="H131" t="s">
        <v>570</v>
      </c>
      <c r="J131" t="s">
        <v>27</v>
      </c>
    </row>
    <row r="132" spans="1:10">
      <c r="E132" t="s">
        <v>571</v>
      </c>
    </row>
    <row r="133" spans="1:10">
      <c r="E133" t="s">
        <v>506</v>
      </c>
    </row>
    <row r="134" spans="1:10">
      <c r="A134" t="s">
        <v>678</v>
      </c>
      <c r="B134" t="s">
        <v>433</v>
      </c>
      <c r="C134" t="s">
        <v>29</v>
      </c>
      <c r="D134" t="s">
        <v>573</v>
      </c>
      <c r="E134" t="s">
        <v>665</v>
      </c>
      <c r="F134" t="s">
        <v>679</v>
      </c>
      <c r="G134" t="s">
        <v>75</v>
      </c>
      <c r="H134" t="s">
        <v>575</v>
      </c>
      <c r="J134" t="s">
        <v>27</v>
      </c>
    </row>
    <row r="135" spans="1:10">
      <c r="E135" t="s">
        <v>579</v>
      </c>
    </row>
    <row r="136" spans="1:10">
      <c r="E136" t="s">
        <v>580</v>
      </c>
    </row>
    <row r="137" spans="1:10">
      <c r="E137" t="s">
        <v>506</v>
      </c>
    </row>
    <row r="138" spans="1:10">
      <c r="A138" t="s">
        <v>680</v>
      </c>
      <c r="B138" t="s">
        <v>433</v>
      </c>
      <c r="C138" t="s">
        <v>29</v>
      </c>
      <c r="D138" t="s">
        <v>582</v>
      </c>
      <c r="E138" t="s">
        <v>665</v>
      </c>
      <c r="F138" t="s">
        <v>681</v>
      </c>
      <c r="G138" t="s">
        <v>75</v>
      </c>
      <c r="H138" t="s">
        <v>584</v>
      </c>
      <c r="J138" t="s">
        <v>27</v>
      </c>
    </row>
    <row r="139" spans="1:10">
      <c r="E139" t="s">
        <v>587</v>
      </c>
    </row>
    <row r="140" spans="1:10">
      <c r="E140" t="s">
        <v>506</v>
      </c>
    </row>
    <row r="141" spans="1:10">
      <c r="A141" t="s">
        <v>682</v>
      </c>
      <c r="B141" t="s">
        <v>433</v>
      </c>
      <c r="C141" t="s">
        <v>29</v>
      </c>
      <c r="D141" t="s">
        <v>589</v>
      </c>
      <c r="E141" t="s">
        <v>662</v>
      </c>
      <c r="F141" t="s">
        <v>683</v>
      </c>
      <c r="G141" t="s">
        <v>26</v>
      </c>
      <c r="H141" t="s">
        <v>591</v>
      </c>
      <c r="J141" t="s">
        <v>464</v>
      </c>
    </row>
    <row r="142" spans="1:10">
      <c r="E142" t="s">
        <v>594</v>
      </c>
    </row>
    <row r="143" spans="1:10">
      <c r="E143" t="s">
        <v>595</v>
      </c>
    </row>
    <row r="144" spans="1:10">
      <c r="E144" t="s">
        <v>506</v>
      </c>
    </row>
    <row r="145" spans="1:10">
      <c r="A145" t="s">
        <v>684</v>
      </c>
      <c r="B145" t="s">
        <v>433</v>
      </c>
      <c r="C145" t="s">
        <v>29</v>
      </c>
      <c r="D145" t="s">
        <v>597</v>
      </c>
      <c r="E145" t="s">
        <v>685</v>
      </c>
      <c r="F145" t="s">
        <v>686</v>
      </c>
      <c r="G145" t="s">
        <v>26</v>
      </c>
      <c r="H145" t="s">
        <v>600</v>
      </c>
      <c r="J145" t="s">
        <v>464</v>
      </c>
    </row>
    <row r="146" spans="1:10">
      <c r="E146" t="s">
        <v>604</v>
      </c>
    </row>
    <row r="147" spans="1:10">
      <c r="E147" t="s">
        <v>595</v>
      </c>
    </row>
    <row r="148" spans="1:10">
      <c r="E148" t="s">
        <v>506</v>
      </c>
    </row>
    <row r="149" spans="1:10">
      <c r="A149" t="s">
        <v>687</v>
      </c>
      <c r="B149" t="s">
        <v>433</v>
      </c>
      <c r="C149" t="s">
        <v>29</v>
      </c>
      <c r="D149" t="s">
        <v>606</v>
      </c>
      <c r="E149" t="s">
        <v>665</v>
      </c>
      <c r="F149" t="s">
        <v>607</v>
      </c>
      <c r="G149" t="s">
        <v>521</v>
      </c>
      <c r="H149" t="s">
        <v>608</v>
      </c>
      <c r="J149" t="s">
        <v>464</v>
      </c>
    </row>
    <row r="150" spans="1:10">
      <c r="E150" t="s">
        <v>609</v>
      </c>
    </row>
    <row r="151" spans="1:10">
      <c r="E151" t="s">
        <v>506</v>
      </c>
    </row>
    <row r="152" spans="1:10">
      <c r="A152" t="s">
        <v>688</v>
      </c>
      <c r="B152" t="s">
        <v>433</v>
      </c>
      <c r="C152" t="s">
        <v>29</v>
      </c>
      <c r="D152" t="s">
        <v>611</v>
      </c>
      <c r="E152" t="s">
        <v>689</v>
      </c>
      <c r="F152" t="s">
        <v>613</v>
      </c>
      <c r="G152" t="s">
        <v>521</v>
      </c>
      <c r="H152" t="s">
        <v>614</v>
      </c>
      <c r="J152" t="s">
        <v>42</v>
      </c>
    </row>
    <row r="153" spans="1:10">
      <c r="E153" t="s">
        <v>615</v>
      </c>
    </row>
    <row r="154" spans="1:10">
      <c r="E154" t="s">
        <v>616</v>
      </c>
    </row>
    <row r="155" spans="1:10">
      <c r="A155" t="s">
        <v>690</v>
      </c>
      <c r="B155" t="s">
        <v>433</v>
      </c>
      <c r="C155" t="s">
        <v>29</v>
      </c>
      <c r="D155" t="s">
        <v>618</v>
      </c>
      <c r="E155" t="s">
        <v>691</v>
      </c>
      <c r="G155" t="s">
        <v>26</v>
      </c>
      <c r="H155" t="s">
        <v>620</v>
      </c>
      <c r="J155" t="s">
        <v>27</v>
      </c>
    </row>
    <row r="156" spans="1:10">
      <c r="E156" t="s">
        <v>621</v>
      </c>
    </row>
    <row r="157" spans="1:10">
      <c r="A157" t="s">
        <v>692</v>
      </c>
      <c r="B157" t="s">
        <v>433</v>
      </c>
      <c r="C157" t="s">
        <v>29</v>
      </c>
      <c r="D157" t="s">
        <v>623</v>
      </c>
      <c r="E157" t="s">
        <v>624</v>
      </c>
      <c r="F157" t="s">
        <v>625</v>
      </c>
      <c r="G157" t="s">
        <v>26</v>
      </c>
      <c r="H157" t="s">
        <v>693</v>
      </c>
      <c r="J157" t="s">
        <v>27</v>
      </c>
    </row>
    <row r="158" spans="1:10">
      <c r="E158" t="s">
        <v>621</v>
      </c>
    </row>
    <row r="159" spans="1:10">
      <c r="E159" t="s">
        <v>627</v>
      </c>
    </row>
    <row r="160" spans="1:10">
      <c r="A160" t="s">
        <v>694</v>
      </c>
      <c r="B160" t="s">
        <v>433</v>
      </c>
      <c r="C160" t="s">
        <v>29</v>
      </c>
      <c r="D160" t="s">
        <v>629</v>
      </c>
      <c r="E160" t="s">
        <v>630</v>
      </c>
      <c r="G160" t="s">
        <v>521</v>
      </c>
      <c r="H160" t="s">
        <v>695</v>
      </c>
      <c r="J160" t="s">
        <v>42</v>
      </c>
    </row>
    <row r="161" spans="1:15">
      <c r="E161" t="s">
        <v>621</v>
      </c>
    </row>
    <row r="162" spans="1:15">
      <c r="E162" t="s">
        <v>632</v>
      </c>
    </row>
    <row r="163" spans="1:15">
      <c r="A163" t="s">
        <v>696</v>
      </c>
      <c r="B163" t="s">
        <v>433</v>
      </c>
      <c r="C163" t="s">
        <v>29</v>
      </c>
      <c r="D163" t="s">
        <v>634</v>
      </c>
      <c r="E163" t="s">
        <v>665</v>
      </c>
      <c r="G163" t="s">
        <v>26</v>
      </c>
      <c r="H163" t="s">
        <v>635</v>
      </c>
      <c r="J163" t="s">
        <v>42</v>
      </c>
    </row>
    <row r="164" spans="1:15">
      <c r="E164" t="s">
        <v>639</v>
      </c>
    </row>
    <row r="165" spans="1:15">
      <c r="A165" t="s">
        <v>697</v>
      </c>
      <c r="B165" t="s">
        <v>433</v>
      </c>
      <c r="C165" t="s">
        <v>29</v>
      </c>
      <c r="D165" t="s">
        <v>698</v>
      </c>
      <c r="E165" t="s">
        <v>699</v>
      </c>
      <c r="F165" t="s">
        <v>700</v>
      </c>
      <c r="G165" t="s">
        <v>521</v>
      </c>
      <c r="H165" t="s">
        <v>701</v>
      </c>
      <c r="J165" t="s">
        <v>27</v>
      </c>
    </row>
    <row r="166" spans="1:15">
      <c r="E166" t="s">
        <v>496</v>
      </c>
    </row>
    <row r="167" spans="1:15">
      <c r="E167" t="s">
        <v>702</v>
      </c>
    </row>
    <row r="168" spans="1:15">
      <c r="E168" t="s">
        <v>506</v>
      </c>
    </row>
    <row r="169" spans="1:15">
      <c r="A169" t="s">
        <v>703</v>
      </c>
      <c r="B169" t="s">
        <v>433</v>
      </c>
      <c r="C169" t="s">
        <v>29</v>
      </c>
      <c r="D169" t="s">
        <v>648</v>
      </c>
      <c r="E169" t="s">
        <v>649</v>
      </c>
      <c r="G169" t="s">
        <v>521</v>
      </c>
      <c r="H169" t="s">
        <v>650</v>
      </c>
      <c r="J169" t="s">
        <v>42</v>
      </c>
    </row>
    <row r="170" spans="1:15">
      <c r="E170" t="s">
        <v>704</v>
      </c>
    </row>
    <row r="171" spans="1:15">
      <c r="A171" t="s">
        <v>705</v>
      </c>
      <c r="B171" t="s">
        <v>433</v>
      </c>
      <c r="C171" t="s">
        <v>37</v>
      </c>
      <c r="D171" t="s">
        <v>706</v>
      </c>
      <c r="E171" t="s">
        <v>707</v>
      </c>
      <c r="F171" t="s">
        <v>708</v>
      </c>
      <c r="G171" t="s">
        <v>26</v>
      </c>
      <c r="H171" t="s">
        <v>709</v>
      </c>
      <c r="J171" t="s">
        <v>27</v>
      </c>
      <c r="K171" t="s">
        <v>710</v>
      </c>
      <c r="L171" t="s">
        <v>438</v>
      </c>
      <c r="M171" t="s">
        <v>711</v>
      </c>
      <c r="N171" t="s">
        <v>710</v>
      </c>
      <c r="O171" t="s">
        <v>712</v>
      </c>
    </row>
    <row r="172" spans="1:15">
      <c r="E172" t="s">
        <v>639</v>
      </c>
    </row>
    <row r="173" spans="1:15">
      <c r="E173" t="s">
        <v>713</v>
      </c>
    </row>
    <row r="174" spans="1:15">
      <c r="E174" t="s">
        <v>714</v>
      </c>
    </row>
    <row r="175" spans="1:15">
      <c r="A175" t="s">
        <v>715</v>
      </c>
      <c r="B175" t="s">
        <v>433</v>
      </c>
      <c r="C175" t="s">
        <v>37</v>
      </c>
      <c r="D175" t="s">
        <v>716</v>
      </c>
      <c r="E175" t="s">
        <v>717</v>
      </c>
      <c r="F175" t="s">
        <v>718</v>
      </c>
      <c r="G175" t="s">
        <v>521</v>
      </c>
      <c r="H175" t="s">
        <v>719</v>
      </c>
      <c r="J175" t="s">
        <v>42</v>
      </c>
    </row>
    <row r="176" spans="1:15">
      <c r="E176" t="s">
        <v>720</v>
      </c>
    </row>
    <row r="177" spans="1:10">
      <c r="E177" t="s">
        <v>714</v>
      </c>
    </row>
    <row r="178" spans="1:10">
      <c r="A178" t="s">
        <v>721</v>
      </c>
      <c r="B178" t="s">
        <v>433</v>
      </c>
      <c r="C178" t="s">
        <v>37</v>
      </c>
      <c r="D178" t="s">
        <v>722</v>
      </c>
      <c r="E178" t="s">
        <v>723</v>
      </c>
      <c r="F178" t="s">
        <v>724</v>
      </c>
      <c r="G178" t="s">
        <v>521</v>
      </c>
      <c r="H178" t="s">
        <v>725</v>
      </c>
      <c r="J178" t="s">
        <v>42</v>
      </c>
    </row>
    <row r="179" spans="1:10">
      <c r="E179" t="s">
        <v>726</v>
      </c>
    </row>
    <row r="180" spans="1:10">
      <c r="E180" t="s">
        <v>727</v>
      </c>
    </row>
    <row r="181" spans="1:10">
      <c r="E181" t="s">
        <v>728</v>
      </c>
    </row>
    <row r="182" spans="1:10">
      <c r="A182" t="s">
        <v>729</v>
      </c>
      <c r="B182" t="s">
        <v>433</v>
      </c>
      <c r="C182" t="s">
        <v>37</v>
      </c>
      <c r="D182" t="s">
        <v>730</v>
      </c>
      <c r="E182" t="s">
        <v>731</v>
      </c>
      <c r="F182" t="s">
        <v>732</v>
      </c>
      <c r="G182" t="s">
        <v>26</v>
      </c>
      <c r="H182" t="s">
        <v>733</v>
      </c>
      <c r="J182" t="s">
        <v>27</v>
      </c>
    </row>
    <row r="183" spans="1:10">
      <c r="E183" t="s">
        <v>734</v>
      </c>
    </row>
    <row r="184" spans="1:10">
      <c r="E184" t="s">
        <v>735</v>
      </c>
    </row>
    <row r="185" spans="1:10">
      <c r="E185" t="s">
        <v>736</v>
      </c>
    </row>
    <row r="186" spans="1:10">
      <c r="A186" t="s">
        <v>737</v>
      </c>
      <c r="B186" t="s">
        <v>433</v>
      </c>
      <c r="C186" t="s">
        <v>37</v>
      </c>
      <c r="D186" t="s">
        <v>738</v>
      </c>
      <c r="E186" t="s">
        <v>731</v>
      </c>
      <c r="F186" t="s">
        <v>739</v>
      </c>
      <c r="G186" t="s">
        <v>521</v>
      </c>
      <c r="H186" t="s">
        <v>740</v>
      </c>
      <c r="J186" t="s">
        <v>27</v>
      </c>
    </row>
    <row r="187" spans="1:10">
      <c r="E187" t="s">
        <v>741</v>
      </c>
    </row>
    <row r="188" spans="1:10">
      <c r="E188" t="s">
        <v>735</v>
      </c>
    </row>
    <row r="189" spans="1:10">
      <c r="E189" t="s">
        <v>736</v>
      </c>
    </row>
    <row r="190" spans="1:10">
      <c r="A190" t="s">
        <v>742</v>
      </c>
      <c r="B190" t="s">
        <v>433</v>
      </c>
      <c r="C190" t="s">
        <v>40</v>
      </c>
      <c r="D190" t="s">
        <v>743</v>
      </c>
      <c r="E190" t="s">
        <v>744</v>
      </c>
      <c r="F190" t="s">
        <v>445</v>
      </c>
      <c r="G190" t="s">
        <v>26</v>
      </c>
      <c r="H190" t="s">
        <v>745</v>
      </c>
      <c r="J190" t="s">
        <v>42</v>
      </c>
    </row>
    <row r="191" spans="1:10">
      <c r="E191" t="s">
        <v>746</v>
      </c>
    </row>
    <row r="192" spans="1:10">
      <c r="A192" t="s">
        <v>747</v>
      </c>
      <c r="B192" t="s">
        <v>433</v>
      </c>
      <c r="C192" t="s">
        <v>40</v>
      </c>
      <c r="D192" t="s">
        <v>748</v>
      </c>
      <c r="E192" t="s">
        <v>749</v>
      </c>
      <c r="F192" t="s">
        <v>445</v>
      </c>
      <c r="G192" t="s">
        <v>521</v>
      </c>
      <c r="H192" t="s">
        <v>750</v>
      </c>
      <c r="J192" t="s">
        <v>464</v>
      </c>
    </row>
    <row r="193" spans="1:10">
      <c r="E193" t="s">
        <v>751</v>
      </c>
    </row>
    <row r="194" spans="1:10">
      <c r="E194" t="s">
        <v>752</v>
      </c>
    </row>
    <row r="195" spans="1:10">
      <c r="A195" t="s">
        <v>753</v>
      </c>
      <c r="B195" t="s">
        <v>433</v>
      </c>
      <c r="C195" t="s">
        <v>40</v>
      </c>
      <c r="D195" t="s">
        <v>754</v>
      </c>
      <c r="E195" t="s">
        <v>749</v>
      </c>
      <c r="F195" t="s">
        <v>755</v>
      </c>
      <c r="G195" t="s">
        <v>26</v>
      </c>
      <c r="H195" t="s">
        <v>756</v>
      </c>
      <c r="J195" t="s">
        <v>42</v>
      </c>
    </row>
    <row r="196" spans="1:10">
      <c r="E196" t="s">
        <v>757</v>
      </c>
    </row>
    <row r="197" spans="1:10">
      <c r="E197" t="s">
        <v>752</v>
      </c>
    </row>
    <row r="198" spans="1:10">
      <c r="A198" t="s">
        <v>758</v>
      </c>
      <c r="B198" t="s">
        <v>433</v>
      </c>
      <c r="C198" t="s">
        <v>40</v>
      </c>
      <c r="D198" t="s">
        <v>759</v>
      </c>
      <c r="E198" t="s">
        <v>760</v>
      </c>
      <c r="H198" t="s">
        <v>761</v>
      </c>
    </row>
    <row r="199" spans="1:10">
      <c r="E199" t="s">
        <v>762</v>
      </c>
    </row>
    <row r="200" spans="1:10">
      <c r="A200" t="s">
        <v>763</v>
      </c>
      <c r="B200" t="s">
        <v>433</v>
      </c>
      <c r="C200" t="s">
        <v>40</v>
      </c>
      <c r="D200" t="s">
        <v>764</v>
      </c>
      <c r="E200" t="s">
        <v>765</v>
      </c>
      <c r="H200" t="s">
        <v>766</v>
      </c>
    </row>
    <row r="201" spans="1:10">
      <c r="E201" t="s">
        <v>762</v>
      </c>
    </row>
    <row r="202" spans="1:10">
      <c r="A202" t="s">
        <v>767</v>
      </c>
      <c r="B202" t="s">
        <v>433</v>
      </c>
      <c r="C202" t="s">
        <v>45</v>
      </c>
      <c r="D202" t="s">
        <v>768</v>
      </c>
      <c r="E202" t="s">
        <v>769</v>
      </c>
      <c r="F202" t="s">
        <v>770</v>
      </c>
      <c r="G202" t="s">
        <v>26</v>
      </c>
      <c r="H202" t="s">
        <v>771</v>
      </c>
      <c r="J202" t="s">
        <v>27</v>
      </c>
    </row>
    <row r="203" spans="1:10">
      <c r="E203" t="s">
        <v>772</v>
      </c>
    </row>
    <row r="204" spans="1:10">
      <c r="A204" t="s">
        <v>773</v>
      </c>
      <c r="B204" t="s">
        <v>433</v>
      </c>
      <c r="C204" t="s">
        <v>45</v>
      </c>
      <c r="D204" t="s">
        <v>774</v>
      </c>
      <c r="E204" t="s">
        <v>775</v>
      </c>
      <c r="F204" t="s">
        <v>776</v>
      </c>
      <c r="G204" t="s">
        <v>26</v>
      </c>
      <c r="H204" t="s">
        <v>777</v>
      </c>
      <c r="J204" t="s">
        <v>27</v>
      </c>
    </row>
    <row r="205" spans="1:10">
      <c r="E205" t="s">
        <v>778</v>
      </c>
    </row>
    <row r="206" spans="1:10">
      <c r="A206" t="s">
        <v>779</v>
      </c>
      <c r="B206" t="s">
        <v>433</v>
      </c>
      <c r="C206" t="s">
        <v>45</v>
      </c>
      <c r="D206" t="s">
        <v>780</v>
      </c>
      <c r="E206" t="s">
        <v>781</v>
      </c>
      <c r="F206" t="s">
        <v>445</v>
      </c>
      <c r="G206" t="s">
        <v>26</v>
      </c>
      <c r="H206" t="s">
        <v>782</v>
      </c>
      <c r="J206" t="s">
        <v>42</v>
      </c>
    </row>
    <row r="207" spans="1:10">
      <c r="E207" t="s">
        <v>783</v>
      </c>
    </row>
    <row r="208" spans="1:10">
      <c r="E208" t="s">
        <v>784</v>
      </c>
    </row>
    <row r="209" spans="1:10">
      <c r="E209" t="s">
        <v>785</v>
      </c>
    </row>
    <row r="210" spans="1:10">
      <c r="A210" t="s">
        <v>786</v>
      </c>
      <c r="B210" t="s">
        <v>433</v>
      </c>
      <c r="C210" t="s">
        <v>45</v>
      </c>
      <c r="D210" t="s">
        <v>787</v>
      </c>
      <c r="E210" t="s">
        <v>788</v>
      </c>
      <c r="F210" t="s">
        <v>445</v>
      </c>
      <c r="G210" t="s">
        <v>521</v>
      </c>
      <c r="H210" t="s">
        <v>789</v>
      </c>
      <c r="J210" t="s">
        <v>42</v>
      </c>
    </row>
    <row r="211" spans="1:10">
      <c r="E211" t="s">
        <v>790</v>
      </c>
    </row>
    <row r="212" spans="1:10">
      <c r="E212" t="s">
        <v>791</v>
      </c>
    </row>
    <row r="213" spans="1:10">
      <c r="A213" t="s">
        <v>792</v>
      </c>
      <c r="B213" t="s">
        <v>433</v>
      </c>
      <c r="C213" t="s">
        <v>45</v>
      </c>
      <c r="D213" t="s">
        <v>793</v>
      </c>
      <c r="E213" t="s">
        <v>781</v>
      </c>
      <c r="F213" t="s">
        <v>445</v>
      </c>
      <c r="G213" t="s">
        <v>26</v>
      </c>
      <c r="H213" t="s">
        <v>794</v>
      </c>
      <c r="J213" t="s">
        <v>42</v>
      </c>
    </row>
    <row r="214" spans="1:10">
      <c r="E214" t="s">
        <v>795</v>
      </c>
    </row>
    <row r="215" spans="1:10">
      <c r="A215" t="s">
        <v>796</v>
      </c>
      <c r="B215" t="s">
        <v>433</v>
      </c>
      <c r="C215" t="s">
        <v>45</v>
      </c>
      <c r="D215" t="s">
        <v>797</v>
      </c>
      <c r="E215" t="s">
        <v>781</v>
      </c>
      <c r="F215" t="s">
        <v>445</v>
      </c>
      <c r="G215" t="s">
        <v>26</v>
      </c>
      <c r="H215" t="s">
        <v>798</v>
      </c>
      <c r="J215" t="s">
        <v>464</v>
      </c>
    </row>
    <row r="216" spans="1:10">
      <c r="E216" t="s">
        <v>799</v>
      </c>
    </row>
    <row r="217" spans="1:10">
      <c r="A217" t="s">
        <v>800</v>
      </c>
      <c r="B217" t="s">
        <v>433</v>
      </c>
      <c r="C217" t="s">
        <v>45</v>
      </c>
      <c r="D217" t="s">
        <v>801</v>
      </c>
      <c r="E217" t="s">
        <v>802</v>
      </c>
      <c r="F217" t="s">
        <v>445</v>
      </c>
      <c r="G217" t="s">
        <v>26</v>
      </c>
      <c r="H217" t="s">
        <v>803</v>
      </c>
      <c r="J217" t="s">
        <v>464</v>
      </c>
    </row>
    <row r="218" spans="1:10">
      <c r="E218" t="s">
        <v>804</v>
      </c>
    </row>
    <row r="219" spans="1:10">
      <c r="E219" t="s">
        <v>805</v>
      </c>
    </row>
    <row r="220" spans="1:10">
      <c r="E220" t="s">
        <v>806</v>
      </c>
    </row>
    <row r="221" spans="1:10">
      <c r="A221" t="s">
        <v>807</v>
      </c>
      <c r="B221" t="s">
        <v>433</v>
      </c>
      <c r="C221" t="s">
        <v>45</v>
      </c>
      <c r="D221" t="s">
        <v>808</v>
      </c>
      <c r="E221" t="s">
        <v>809</v>
      </c>
      <c r="F221" t="s">
        <v>445</v>
      </c>
      <c r="G221" t="s">
        <v>26</v>
      </c>
      <c r="H221" t="s">
        <v>810</v>
      </c>
      <c r="J221" t="s">
        <v>464</v>
      </c>
    </row>
    <row r="222" spans="1:10">
      <c r="E222" t="s">
        <v>811</v>
      </c>
    </row>
    <row r="223" spans="1:10">
      <c r="E223" t="s">
        <v>812</v>
      </c>
    </row>
    <row r="224" spans="1:10">
      <c r="A224" t="s">
        <v>813</v>
      </c>
      <c r="B224" t="s">
        <v>433</v>
      </c>
      <c r="C224" t="s">
        <v>48</v>
      </c>
      <c r="D224" t="s">
        <v>814</v>
      </c>
      <c r="E224" t="s">
        <v>815</v>
      </c>
      <c r="F224" t="s">
        <v>445</v>
      </c>
      <c r="G224" t="s">
        <v>521</v>
      </c>
      <c r="H224" t="s">
        <v>816</v>
      </c>
      <c r="J224" t="s">
        <v>42</v>
      </c>
    </row>
    <row r="225" spans="1:10">
      <c r="E225" t="s">
        <v>817</v>
      </c>
    </row>
    <row r="226" spans="1:10">
      <c r="E226" t="s">
        <v>818</v>
      </c>
    </row>
    <row r="227" spans="1:10">
      <c r="A227" t="s">
        <v>819</v>
      </c>
      <c r="B227" t="s">
        <v>433</v>
      </c>
      <c r="C227" t="s">
        <v>48</v>
      </c>
      <c r="D227" t="s">
        <v>820</v>
      </c>
      <c r="E227" t="s">
        <v>821</v>
      </c>
      <c r="F227" t="s">
        <v>822</v>
      </c>
      <c r="G227" t="s">
        <v>521</v>
      </c>
      <c r="H227" t="s">
        <v>823</v>
      </c>
      <c r="J227" t="s">
        <v>42</v>
      </c>
    </row>
    <row r="228" spans="1:10">
      <c r="E228" t="s">
        <v>824</v>
      </c>
    </row>
    <row r="229" spans="1:10">
      <c r="E229" t="s">
        <v>825</v>
      </c>
    </row>
    <row r="230" spans="1:10">
      <c r="E230" t="s">
        <v>818</v>
      </c>
    </row>
    <row r="231" spans="1:10">
      <c r="A231" t="s">
        <v>826</v>
      </c>
      <c r="B231" t="s">
        <v>433</v>
      </c>
      <c r="C231" t="s">
        <v>48</v>
      </c>
      <c r="D231" t="s">
        <v>827</v>
      </c>
      <c r="E231" t="s">
        <v>821</v>
      </c>
      <c r="F231" t="s">
        <v>828</v>
      </c>
      <c r="G231" t="s">
        <v>26</v>
      </c>
      <c r="H231" t="s">
        <v>829</v>
      </c>
      <c r="J231" t="s">
        <v>464</v>
      </c>
    </row>
    <row r="232" spans="1:10">
      <c r="E232" t="s">
        <v>830</v>
      </c>
    </row>
    <row r="233" spans="1:10">
      <c r="E233" t="s">
        <v>831</v>
      </c>
    </row>
    <row r="234" spans="1:10">
      <c r="A234" t="s">
        <v>832</v>
      </c>
      <c r="B234" t="s">
        <v>433</v>
      </c>
      <c r="C234" t="s">
        <v>48</v>
      </c>
      <c r="D234" t="s">
        <v>833</v>
      </c>
      <c r="E234" t="s">
        <v>834</v>
      </c>
      <c r="F234" t="s">
        <v>835</v>
      </c>
      <c r="G234" t="s">
        <v>26</v>
      </c>
      <c r="H234" t="s">
        <v>836</v>
      </c>
      <c r="J234" t="s">
        <v>27</v>
      </c>
    </row>
    <row r="235" spans="1:10">
      <c r="E235" t="s">
        <v>837</v>
      </c>
    </row>
    <row r="236" spans="1:10">
      <c r="E236" t="s">
        <v>818</v>
      </c>
    </row>
    <row r="237" spans="1:10">
      <c r="A237" t="s">
        <v>838</v>
      </c>
      <c r="B237" t="s">
        <v>433</v>
      </c>
      <c r="C237" t="s">
        <v>48</v>
      </c>
      <c r="D237" t="s">
        <v>839</v>
      </c>
      <c r="E237" t="s">
        <v>821</v>
      </c>
      <c r="F237" t="s">
        <v>840</v>
      </c>
      <c r="G237" t="s">
        <v>521</v>
      </c>
      <c r="H237" t="s">
        <v>841</v>
      </c>
      <c r="J237" t="s">
        <v>27</v>
      </c>
    </row>
    <row r="238" spans="1:10">
      <c r="E238" t="s">
        <v>842</v>
      </c>
    </row>
    <row r="239" spans="1:10">
      <c r="E239" t="s">
        <v>818</v>
      </c>
    </row>
    <row r="240" spans="1:10">
      <c r="A240" t="s">
        <v>843</v>
      </c>
      <c r="B240" t="s">
        <v>433</v>
      </c>
      <c r="C240" t="s">
        <v>48</v>
      </c>
      <c r="D240" t="s">
        <v>844</v>
      </c>
      <c r="E240" t="s">
        <v>845</v>
      </c>
      <c r="F240" t="s">
        <v>846</v>
      </c>
      <c r="G240" t="s">
        <v>521</v>
      </c>
      <c r="H240" t="s">
        <v>847</v>
      </c>
      <c r="J240" t="s">
        <v>42</v>
      </c>
    </row>
    <row r="241" spans="1:10">
      <c r="E241" t="s">
        <v>848</v>
      </c>
    </row>
    <row r="242" spans="1:10">
      <c r="E242" t="s">
        <v>818</v>
      </c>
    </row>
    <row r="243" spans="1:10">
      <c r="A243" t="s">
        <v>849</v>
      </c>
      <c r="B243" t="s">
        <v>433</v>
      </c>
      <c r="C243" t="s">
        <v>48</v>
      </c>
      <c r="D243" t="s">
        <v>850</v>
      </c>
      <c r="E243" t="s">
        <v>821</v>
      </c>
      <c r="F243" t="s">
        <v>445</v>
      </c>
      <c r="G243" t="s">
        <v>26</v>
      </c>
      <c r="H243" t="s">
        <v>851</v>
      </c>
      <c r="J243" t="s">
        <v>464</v>
      </c>
    </row>
    <row r="244" spans="1:10">
      <c r="E244" t="s">
        <v>852</v>
      </c>
    </row>
    <row r="245" spans="1:10">
      <c r="A245" t="s">
        <v>853</v>
      </c>
      <c r="B245" t="s">
        <v>433</v>
      </c>
      <c r="C245" t="s">
        <v>48</v>
      </c>
      <c r="D245" t="s">
        <v>854</v>
      </c>
      <c r="E245" t="s">
        <v>855</v>
      </c>
      <c r="F245" t="s">
        <v>856</v>
      </c>
      <c r="G245" t="s">
        <v>521</v>
      </c>
      <c r="H245" t="s">
        <v>857</v>
      </c>
      <c r="J245" t="s">
        <v>42</v>
      </c>
    </row>
    <row r="246" spans="1:10">
      <c r="E246" t="s">
        <v>858</v>
      </c>
    </row>
    <row r="247" spans="1:10">
      <c r="E247" t="s">
        <v>818</v>
      </c>
    </row>
    <row r="248" spans="1:10">
      <c r="A248" t="s">
        <v>859</v>
      </c>
      <c r="B248" t="s">
        <v>433</v>
      </c>
      <c r="C248" t="s">
        <v>52</v>
      </c>
      <c r="D248" t="s">
        <v>860</v>
      </c>
      <c r="E248" t="s">
        <v>861</v>
      </c>
      <c r="F248" t="s">
        <v>445</v>
      </c>
      <c r="G248" t="s">
        <v>26</v>
      </c>
      <c r="H248" t="s">
        <v>862</v>
      </c>
      <c r="J248" t="s">
        <v>27</v>
      </c>
    </row>
    <row r="249" spans="1:10">
      <c r="E249" t="s">
        <v>863</v>
      </c>
    </row>
    <row r="250" spans="1:10">
      <c r="A250" t="s">
        <v>864</v>
      </c>
      <c r="B250" t="s">
        <v>433</v>
      </c>
      <c r="C250" t="s">
        <v>52</v>
      </c>
      <c r="D250" t="s">
        <v>865</v>
      </c>
      <c r="E250" t="s">
        <v>866</v>
      </c>
      <c r="F250" t="s">
        <v>445</v>
      </c>
      <c r="G250" t="s">
        <v>26</v>
      </c>
      <c r="H250" t="s">
        <v>867</v>
      </c>
      <c r="J250" t="s">
        <v>42</v>
      </c>
    </row>
    <row r="251" spans="1:10">
      <c r="E251" t="s">
        <v>868</v>
      </c>
    </row>
    <row r="252" spans="1:10">
      <c r="A252" t="s">
        <v>869</v>
      </c>
      <c r="B252" t="s">
        <v>433</v>
      </c>
      <c r="C252" t="s">
        <v>52</v>
      </c>
      <c r="D252" t="s">
        <v>870</v>
      </c>
      <c r="E252" t="s">
        <v>871</v>
      </c>
      <c r="F252" t="s">
        <v>445</v>
      </c>
      <c r="G252" t="s">
        <v>26</v>
      </c>
      <c r="H252" t="s">
        <v>872</v>
      </c>
      <c r="J252" t="s">
        <v>42</v>
      </c>
    </row>
    <row r="253" spans="1:10">
      <c r="E253" t="s">
        <v>873</v>
      </c>
    </row>
    <row r="254" spans="1:10">
      <c r="E254" t="s">
        <v>874</v>
      </c>
    </row>
    <row r="255" spans="1:10">
      <c r="A255" t="s">
        <v>875</v>
      </c>
      <c r="B255" t="s">
        <v>433</v>
      </c>
      <c r="C255" t="s">
        <v>52</v>
      </c>
      <c r="D255" t="s">
        <v>876</v>
      </c>
      <c r="E255" t="s">
        <v>877</v>
      </c>
      <c r="F255" t="s">
        <v>445</v>
      </c>
      <c r="G255" t="s">
        <v>26</v>
      </c>
      <c r="H255" t="s">
        <v>878</v>
      </c>
      <c r="J255" t="s">
        <v>42</v>
      </c>
    </row>
    <row r="256" spans="1:10">
      <c r="E256" t="s">
        <v>879</v>
      </c>
    </row>
    <row r="257" spans="1:10">
      <c r="A257" t="s">
        <v>880</v>
      </c>
      <c r="B257" t="s">
        <v>433</v>
      </c>
      <c r="C257" t="s">
        <v>52</v>
      </c>
      <c r="D257" t="s">
        <v>881</v>
      </c>
      <c r="E257" t="s">
        <v>882</v>
      </c>
      <c r="F257" t="s">
        <v>445</v>
      </c>
      <c r="G257" t="s">
        <v>521</v>
      </c>
      <c r="H257" t="s">
        <v>883</v>
      </c>
      <c r="J257" t="s">
        <v>27</v>
      </c>
    </row>
    <row r="258" spans="1:10">
      <c r="E258" t="s">
        <v>884</v>
      </c>
    </row>
    <row r="259" spans="1:10">
      <c r="E259" t="s">
        <v>885</v>
      </c>
    </row>
    <row r="260" spans="1:10">
      <c r="A260" t="s">
        <v>886</v>
      </c>
      <c r="B260" t="s">
        <v>433</v>
      </c>
      <c r="C260" t="s">
        <v>52</v>
      </c>
      <c r="D260" t="s">
        <v>887</v>
      </c>
      <c r="E260" t="s">
        <v>888</v>
      </c>
      <c r="F260" t="s">
        <v>445</v>
      </c>
      <c r="G260" t="s">
        <v>521</v>
      </c>
      <c r="H260" t="s">
        <v>889</v>
      </c>
      <c r="J260" t="s">
        <v>27</v>
      </c>
    </row>
    <row r="261" spans="1:10">
      <c r="E261" t="s">
        <v>890</v>
      </c>
    </row>
    <row r="262" spans="1:10">
      <c r="A262" t="s">
        <v>891</v>
      </c>
      <c r="B262" t="s">
        <v>433</v>
      </c>
      <c r="C262" t="s">
        <v>56</v>
      </c>
      <c r="D262" t="s">
        <v>892</v>
      </c>
      <c r="E262" t="s">
        <v>893</v>
      </c>
      <c r="F262" t="s">
        <v>445</v>
      </c>
      <c r="G262" t="s">
        <v>26</v>
      </c>
      <c r="H262" t="s">
        <v>894</v>
      </c>
      <c r="J262" t="s">
        <v>27</v>
      </c>
    </row>
    <row r="263" spans="1:10">
      <c r="E263" t="s">
        <v>895</v>
      </c>
    </row>
    <row r="264" spans="1:10">
      <c r="A264" t="s">
        <v>896</v>
      </c>
      <c r="B264" t="s">
        <v>433</v>
      </c>
      <c r="C264" t="s">
        <v>56</v>
      </c>
      <c r="D264" t="s">
        <v>897</v>
      </c>
      <c r="E264" t="s">
        <v>898</v>
      </c>
      <c r="F264" t="s">
        <v>445</v>
      </c>
      <c r="G264" t="s">
        <v>26</v>
      </c>
      <c r="H264" t="s">
        <v>899</v>
      </c>
      <c r="J264" t="s">
        <v>42</v>
      </c>
    </row>
    <row r="265" spans="1:10">
      <c r="E265" t="s">
        <v>900</v>
      </c>
    </row>
    <row r="266" spans="1:10">
      <c r="A266" t="s">
        <v>901</v>
      </c>
      <c r="B266" t="s">
        <v>433</v>
      </c>
      <c r="C266" t="s">
        <v>56</v>
      </c>
      <c r="D266" t="s">
        <v>902</v>
      </c>
      <c r="E266" t="s">
        <v>903</v>
      </c>
      <c r="F266" t="s">
        <v>445</v>
      </c>
      <c r="G266" t="s">
        <v>26</v>
      </c>
      <c r="H266" t="s">
        <v>904</v>
      </c>
      <c r="J266" t="s">
        <v>42</v>
      </c>
    </row>
    <row r="267" spans="1:10">
      <c r="E267" t="s">
        <v>905</v>
      </c>
    </row>
    <row r="268" spans="1:10">
      <c r="E268" t="s">
        <v>906</v>
      </c>
    </row>
    <row r="269" spans="1:10">
      <c r="A269" t="s">
        <v>907</v>
      </c>
      <c r="B269" t="s">
        <v>433</v>
      </c>
      <c r="C269" t="s">
        <v>56</v>
      </c>
      <c r="D269" t="s">
        <v>908</v>
      </c>
      <c r="E269" t="s">
        <v>909</v>
      </c>
      <c r="F269" t="s">
        <v>445</v>
      </c>
      <c r="G269" t="s">
        <v>26</v>
      </c>
      <c r="H269" t="s">
        <v>910</v>
      </c>
      <c r="J269" t="s">
        <v>42</v>
      </c>
    </row>
    <row r="270" spans="1:10">
      <c r="E270" t="s">
        <v>911</v>
      </c>
    </row>
    <row r="271" spans="1:10">
      <c r="A271" t="s">
        <v>912</v>
      </c>
      <c r="B271" t="s">
        <v>433</v>
      </c>
      <c r="C271" t="s">
        <v>56</v>
      </c>
      <c r="D271" t="s">
        <v>913</v>
      </c>
      <c r="E271" t="s">
        <v>914</v>
      </c>
      <c r="F271" t="s">
        <v>445</v>
      </c>
      <c r="G271" t="s">
        <v>26</v>
      </c>
      <c r="H271" t="s">
        <v>915</v>
      </c>
      <c r="J271" t="s">
        <v>464</v>
      </c>
    </row>
    <row r="272" spans="1:10">
      <c r="E272" t="s">
        <v>916</v>
      </c>
    </row>
    <row r="273" spans="1:10">
      <c r="A273" t="s">
        <v>917</v>
      </c>
      <c r="B273" t="s">
        <v>433</v>
      </c>
      <c r="C273" t="s">
        <v>56</v>
      </c>
      <c r="D273" t="s">
        <v>918</v>
      </c>
      <c r="E273" t="s">
        <v>919</v>
      </c>
      <c r="F273" t="s">
        <v>445</v>
      </c>
      <c r="G273" t="s">
        <v>26</v>
      </c>
      <c r="H273" t="s">
        <v>920</v>
      </c>
      <c r="J273" t="s">
        <v>42</v>
      </c>
    </row>
    <row r="274" spans="1:10">
      <c r="E274" t="s">
        <v>921</v>
      </c>
    </row>
    <row r="275" spans="1:10">
      <c r="A275" t="s">
        <v>922</v>
      </c>
      <c r="B275" t="s">
        <v>433</v>
      </c>
      <c r="C275" t="s">
        <v>56</v>
      </c>
      <c r="D275" t="s">
        <v>923</v>
      </c>
      <c r="E275" t="s">
        <v>914</v>
      </c>
      <c r="F275" t="s">
        <v>445</v>
      </c>
      <c r="G275" t="s">
        <v>26</v>
      </c>
      <c r="H275" t="s">
        <v>924</v>
      </c>
      <c r="J275" t="s">
        <v>42</v>
      </c>
    </row>
    <row r="276" spans="1:10">
      <c r="E276" t="s">
        <v>925</v>
      </c>
    </row>
    <row r="277" spans="1:10">
      <c r="E277" t="s">
        <v>926</v>
      </c>
    </row>
    <row r="278" spans="1:10">
      <c r="A278" t="s">
        <v>927</v>
      </c>
      <c r="B278" t="s">
        <v>433</v>
      </c>
      <c r="C278" t="s">
        <v>56</v>
      </c>
      <c r="D278" t="s">
        <v>928</v>
      </c>
      <c r="E278" t="s">
        <v>929</v>
      </c>
      <c r="F278" t="s">
        <v>445</v>
      </c>
      <c r="G278" t="s">
        <v>521</v>
      </c>
      <c r="H278" t="s">
        <v>930</v>
      </c>
      <c r="J278" t="s">
        <v>42</v>
      </c>
    </row>
    <row r="279" spans="1:10">
      <c r="E279" t="s">
        <v>931</v>
      </c>
    </row>
    <row r="280" spans="1:10">
      <c r="A280" t="s">
        <v>932</v>
      </c>
      <c r="B280" t="s">
        <v>933</v>
      </c>
      <c r="C280" t="s">
        <v>60</v>
      </c>
      <c r="D280" t="s">
        <v>934</v>
      </c>
      <c r="E280" t="s">
        <v>935</v>
      </c>
      <c r="F280" t="s">
        <v>936</v>
      </c>
      <c r="G280" t="s">
        <v>62</v>
      </c>
      <c r="H280" t="s">
        <v>937</v>
      </c>
      <c r="J280" t="s">
        <v>27</v>
      </c>
    </row>
    <row r="281" spans="1:10">
      <c r="E281" t="s">
        <v>938</v>
      </c>
    </row>
    <row r="282" spans="1:10">
      <c r="E282" t="s">
        <v>939</v>
      </c>
    </row>
    <row r="283" spans="1:10">
      <c r="A283" t="s">
        <v>940</v>
      </c>
      <c r="B283" t="s">
        <v>933</v>
      </c>
      <c r="C283" t="s">
        <v>60</v>
      </c>
      <c r="D283" t="s">
        <v>941</v>
      </c>
      <c r="E283" t="s">
        <v>942</v>
      </c>
      <c r="F283" t="s">
        <v>943</v>
      </c>
      <c r="G283" t="s">
        <v>62</v>
      </c>
      <c r="H283" t="s">
        <v>944</v>
      </c>
      <c r="J283" t="s">
        <v>27</v>
      </c>
    </row>
    <row r="284" spans="1:10">
      <c r="E284" t="s">
        <v>945</v>
      </c>
    </row>
    <row r="285" spans="1:10">
      <c r="A285" t="s">
        <v>946</v>
      </c>
      <c r="B285" t="s">
        <v>933</v>
      </c>
      <c r="C285" t="s">
        <v>60</v>
      </c>
      <c r="D285" t="s">
        <v>947</v>
      </c>
      <c r="E285" t="s">
        <v>942</v>
      </c>
      <c r="F285" t="s">
        <v>948</v>
      </c>
      <c r="G285" t="s">
        <v>62</v>
      </c>
      <c r="H285" t="s">
        <v>949</v>
      </c>
      <c r="J285" t="s">
        <v>42</v>
      </c>
    </row>
    <row r="286" spans="1:10">
      <c r="E286" t="s">
        <v>950</v>
      </c>
    </row>
    <row r="287" spans="1:10">
      <c r="A287" t="s">
        <v>951</v>
      </c>
      <c r="B287" t="s">
        <v>933</v>
      </c>
      <c r="C287" t="s">
        <v>60</v>
      </c>
      <c r="D287" t="s">
        <v>952</v>
      </c>
      <c r="E287" t="s">
        <v>942</v>
      </c>
      <c r="F287" t="s">
        <v>953</v>
      </c>
      <c r="G287" t="s">
        <v>62</v>
      </c>
      <c r="H287" t="s">
        <v>954</v>
      </c>
      <c r="J287" t="s">
        <v>27</v>
      </c>
    </row>
    <row r="288" spans="1:10">
      <c r="E288" t="s">
        <v>955</v>
      </c>
    </row>
    <row r="289" spans="1:10">
      <c r="A289" t="s">
        <v>956</v>
      </c>
      <c r="B289" t="s">
        <v>933</v>
      </c>
      <c r="C289" t="s">
        <v>60</v>
      </c>
      <c r="D289" t="s">
        <v>957</v>
      </c>
      <c r="E289" t="s">
        <v>958</v>
      </c>
      <c r="F289" t="s">
        <v>959</v>
      </c>
      <c r="G289" t="s">
        <v>62</v>
      </c>
      <c r="H289" t="s">
        <v>960</v>
      </c>
      <c r="J289" t="s">
        <v>27</v>
      </c>
    </row>
    <row r="290" spans="1:10">
      <c r="E290" t="s">
        <v>961</v>
      </c>
    </row>
    <row r="291" spans="1:10">
      <c r="E291" t="s">
        <v>962</v>
      </c>
    </row>
    <row r="292" spans="1:10">
      <c r="E292" t="s">
        <v>963</v>
      </c>
    </row>
    <row r="293" spans="1:10">
      <c r="A293" t="s">
        <v>964</v>
      </c>
      <c r="B293" t="s">
        <v>933</v>
      </c>
      <c r="C293" t="s">
        <v>60</v>
      </c>
      <c r="D293" t="s">
        <v>965</v>
      </c>
      <c r="E293" t="s">
        <v>966</v>
      </c>
      <c r="F293" t="s">
        <v>967</v>
      </c>
      <c r="G293" t="s">
        <v>62</v>
      </c>
      <c r="H293" t="s">
        <v>968</v>
      </c>
      <c r="J293" t="s">
        <v>27</v>
      </c>
    </row>
    <row r="294" spans="1:10">
      <c r="E294" t="s">
        <v>969</v>
      </c>
    </row>
    <row r="295" spans="1:10">
      <c r="E295" t="s">
        <v>970</v>
      </c>
    </row>
    <row r="296" spans="1:10">
      <c r="A296" t="s">
        <v>971</v>
      </c>
      <c r="B296" t="s">
        <v>933</v>
      </c>
      <c r="C296" t="s">
        <v>64</v>
      </c>
      <c r="D296" t="s">
        <v>972</v>
      </c>
      <c r="E296" t="s">
        <v>973</v>
      </c>
      <c r="F296" t="s">
        <v>974</v>
      </c>
      <c r="G296" t="s">
        <v>62</v>
      </c>
      <c r="H296" t="s">
        <v>975</v>
      </c>
      <c r="J296" t="s">
        <v>27</v>
      </c>
    </row>
    <row r="297" spans="1:10">
      <c r="E297" t="s">
        <v>976</v>
      </c>
    </row>
    <row r="298" spans="1:10">
      <c r="A298" t="s">
        <v>977</v>
      </c>
      <c r="B298" t="s">
        <v>933</v>
      </c>
      <c r="C298" t="s">
        <v>64</v>
      </c>
      <c r="D298" t="s">
        <v>978</v>
      </c>
      <c r="E298" t="s">
        <v>979</v>
      </c>
      <c r="F298" t="s">
        <v>980</v>
      </c>
      <c r="G298" t="s">
        <v>62</v>
      </c>
      <c r="H298" t="s">
        <v>981</v>
      </c>
      <c r="J298" t="s">
        <v>27</v>
      </c>
    </row>
    <row r="299" spans="1:10">
      <c r="E299" t="s">
        <v>982</v>
      </c>
    </row>
    <row r="300" spans="1:10">
      <c r="A300" t="s">
        <v>325</v>
      </c>
      <c r="B300" t="s">
        <v>933</v>
      </c>
      <c r="C300" t="s">
        <v>67</v>
      </c>
      <c r="D300" t="s">
        <v>983</v>
      </c>
      <c r="E300" t="s">
        <v>984</v>
      </c>
      <c r="F300" t="s">
        <v>985</v>
      </c>
      <c r="G300" t="s">
        <v>62</v>
      </c>
      <c r="H300" t="s">
        <v>986</v>
      </c>
      <c r="J300" t="s">
        <v>42</v>
      </c>
    </row>
    <row r="301" spans="1:10">
      <c r="E301" t="s">
        <v>987</v>
      </c>
    </row>
    <row r="302" spans="1:10">
      <c r="A302" t="s">
        <v>327</v>
      </c>
      <c r="B302" t="s">
        <v>933</v>
      </c>
      <c r="C302" t="s">
        <v>70</v>
      </c>
      <c r="D302" t="s">
        <v>988</v>
      </c>
      <c r="E302" t="s">
        <v>989</v>
      </c>
      <c r="F302" t="s">
        <v>990</v>
      </c>
      <c r="G302" t="s">
        <v>62</v>
      </c>
      <c r="H302" t="s">
        <v>991</v>
      </c>
      <c r="J302" t="s">
        <v>42</v>
      </c>
    </row>
    <row r="303" spans="1:10">
      <c r="E303" t="s">
        <v>992</v>
      </c>
    </row>
    <row r="304" spans="1:10">
      <c r="E304" t="s">
        <v>993</v>
      </c>
    </row>
    <row r="305" spans="1:10">
      <c r="A305" t="s">
        <v>994</v>
      </c>
      <c r="B305" t="s">
        <v>433</v>
      </c>
      <c r="C305" t="s">
        <v>73</v>
      </c>
      <c r="D305" t="s">
        <v>995</v>
      </c>
      <c r="E305" t="s">
        <v>996</v>
      </c>
      <c r="F305" t="s">
        <v>445</v>
      </c>
      <c r="G305" t="s">
        <v>75</v>
      </c>
      <c r="H305" t="s">
        <v>997</v>
      </c>
      <c r="J305" t="s">
        <v>27</v>
      </c>
    </row>
    <row r="306" spans="1:10">
      <c r="E306" t="s">
        <v>998</v>
      </c>
    </row>
    <row r="307" spans="1:10">
      <c r="A307" t="s">
        <v>999</v>
      </c>
      <c r="B307" t="s">
        <v>433</v>
      </c>
      <c r="C307" t="s">
        <v>73</v>
      </c>
      <c r="D307" t="s">
        <v>1000</v>
      </c>
      <c r="E307" t="s">
        <v>1001</v>
      </c>
      <c r="F307" t="s">
        <v>445</v>
      </c>
      <c r="G307" t="s">
        <v>75</v>
      </c>
      <c r="H307" t="s">
        <v>1002</v>
      </c>
      <c r="J307" t="s">
        <v>27</v>
      </c>
    </row>
    <row r="308" spans="1:10">
      <c r="E308" t="s">
        <v>1003</v>
      </c>
    </row>
    <row r="309" spans="1:10">
      <c r="A309" t="s">
        <v>1004</v>
      </c>
      <c r="B309" t="s">
        <v>433</v>
      </c>
      <c r="C309" t="s">
        <v>73</v>
      </c>
      <c r="D309" t="s">
        <v>1005</v>
      </c>
      <c r="E309" t="s">
        <v>1006</v>
      </c>
      <c r="F309" t="s">
        <v>1007</v>
      </c>
      <c r="G309" t="s">
        <v>75</v>
      </c>
      <c r="H309" t="s">
        <v>1008</v>
      </c>
      <c r="J309" t="s">
        <v>27</v>
      </c>
    </row>
    <row r="310" spans="1:10">
      <c r="E310" t="s">
        <v>1009</v>
      </c>
    </row>
    <row r="311" spans="1:10">
      <c r="E311" t="s">
        <v>1010</v>
      </c>
    </row>
    <row r="312" spans="1:10">
      <c r="A312" t="s">
        <v>1011</v>
      </c>
      <c r="B312" t="s">
        <v>433</v>
      </c>
      <c r="C312" t="s">
        <v>73</v>
      </c>
      <c r="D312" t="s">
        <v>1012</v>
      </c>
      <c r="E312" t="s">
        <v>1013</v>
      </c>
      <c r="F312" t="s">
        <v>1014</v>
      </c>
      <c r="G312" t="s">
        <v>75</v>
      </c>
      <c r="H312" t="s">
        <v>1015</v>
      </c>
      <c r="J312" t="s">
        <v>27</v>
      </c>
    </row>
    <row r="313" spans="1:10">
      <c r="E313" t="s">
        <v>1016</v>
      </c>
    </row>
    <row r="314" spans="1:10">
      <c r="E314" t="s">
        <v>1017</v>
      </c>
    </row>
    <row r="315" spans="1:10">
      <c r="A315" t="s">
        <v>1018</v>
      </c>
      <c r="B315" t="s">
        <v>933</v>
      </c>
      <c r="C315" t="s">
        <v>78</v>
      </c>
      <c r="D315" t="s">
        <v>1019</v>
      </c>
      <c r="E315" t="s">
        <v>1020</v>
      </c>
      <c r="F315" t="s">
        <v>1021</v>
      </c>
      <c r="G315" t="s">
        <v>78</v>
      </c>
      <c r="H315" t="s">
        <v>1022</v>
      </c>
      <c r="J315" t="s">
        <v>42</v>
      </c>
    </row>
    <row r="316" spans="1:10">
      <c r="E316" t="s">
        <v>1023</v>
      </c>
    </row>
    <row r="317" spans="1:10">
      <c r="A317" t="s">
        <v>1024</v>
      </c>
      <c r="B317" t="s">
        <v>933</v>
      </c>
      <c r="C317" t="s">
        <v>78</v>
      </c>
      <c r="D317" t="s">
        <v>1025</v>
      </c>
      <c r="E317" t="s">
        <v>1026</v>
      </c>
      <c r="F317" t="s">
        <v>1027</v>
      </c>
      <c r="G317" t="s">
        <v>78</v>
      </c>
      <c r="H317" t="s">
        <v>1028</v>
      </c>
      <c r="J317" t="s">
        <v>27</v>
      </c>
    </row>
    <row r="318" spans="1:10">
      <c r="E318" t="s">
        <v>1029</v>
      </c>
    </row>
    <row r="319" spans="1:10">
      <c r="E319" t="s">
        <v>1030</v>
      </c>
    </row>
    <row r="320" spans="1:10">
      <c r="A320" t="s">
        <v>1031</v>
      </c>
      <c r="B320" t="s">
        <v>933</v>
      </c>
      <c r="C320" t="s">
        <v>78</v>
      </c>
      <c r="D320" t="s">
        <v>1032</v>
      </c>
      <c r="E320" t="s">
        <v>1033</v>
      </c>
      <c r="F320" t="s">
        <v>1034</v>
      </c>
      <c r="G320" t="s">
        <v>78</v>
      </c>
      <c r="H320" t="s">
        <v>1035</v>
      </c>
      <c r="J320" t="s">
        <v>27</v>
      </c>
    </row>
    <row r="321" spans="1:10">
      <c r="E321" t="s">
        <v>1036</v>
      </c>
    </row>
    <row r="322" spans="1:10">
      <c r="A322" t="s">
        <v>1037</v>
      </c>
      <c r="B322" t="s">
        <v>933</v>
      </c>
      <c r="C322" t="s">
        <v>78</v>
      </c>
      <c r="D322" t="s">
        <v>1038</v>
      </c>
      <c r="E322" t="s">
        <v>1039</v>
      </c>
      <c r="F322" t="s">
        <v>1040</v>
      </c>
      <c r="G322" t="s">
        <v>78</v>
      </c>
      <c r="H322" t="s">
        <v>1041</v>
      </c>
      <c r="J322" t="s">
        <v>42</v>
      </c>
    </row>
    <row r="323" spans="1:10">
      <c r="E323" t="s">
        <v>1042</v>
      </c>
    </row>
    <row r="324" spans="1:10">
      <c r="E324" t="s">
        <v>1043</v>
      </c>
    </row>
    <row r="325" spans="1:10">
      <c r="A325" t="s">
        <v>1044</v>
      </c>
      <c r="B325" t="s">
        <v>933</v>
      </c>
      <c r="C325" t="s">
        <v>78</v>
      </c>
      <c r="D325" t="s">
        <v>1045</v>
      </c>
      <c r="E325" t="s">
        <v>1046</v>
      </c>
      <c r="F325" t="s">
        <v>1047</v>
      </c>
      <c r="G325" t="s">
        <v>78</v>
      </c>
      <c r="H325" t="s">
        <v>1048</v>
      </c>
      <c r="J325" t="s">
        <v>27</v>
      </c>
    </row>
    <row r="326" spans="1:10">
      <c r="E326" t="s">
        <v>1049</v>
      </c>
    </row>
    <row r="327" spans="1:10">
      <c r="E327" t="s">
        <v>1050</v>
      </c>
    </row>
    <row r="328" spans="1:10">
      <c r="E328" t="s">
        <v>1051</v>
      </c>
    </row>
    <row r="329" spans="1:10">
      <c r="A329" t="s">
        <v>1052</v>
      </c>
      <c r="B329" t="s">
        <v>933</v>
      </c>
      <c r="C329" t="s">
        <v>78</v>
      </c>
      <c r="D329" t="s">
        <v>1053</v>
      </c>
      <c r="E329" t="s">
        <v>1033</v>
      </c>
      <c r="F329" t="s">
        <v>1054</v>
      </c>
      <c r="G329" t="s">
        <v>78</v>
      </c>
      <c r="H329" t="s">
        <v>1055</v>
      </c>
      <c r="J329" t="s">
        <v>42</v>
      </c>
    </row>
    <row r="330" spans="1:10">
      <c r="E330" t="s">
        <v>1056</v>
      </c>
    </row>
    <row r="331" spans="1:10">
      <c r="A331" t="s">
        <v>1057</v>
      </c>
      <c r="B331" t="s">
        <v>933</v>
      </c>
      <c r="C331" t="s">
        <v>78</v>
      </c>
      <c r="D331" t="s">
        <v>1058</v>
      </c>
      <c r="E331" t="s">
        <v>1059</v>
      </c>
      <c r="F331" t="s">
        <v>1060</v>
      </c>
      <c r="G331" t="s">
        <v>78</v>
      </c>
      <c r="H331" t="s">
        <v>1061</v>
      </c>
      <c r="J331" t="s">
        <v>42</v>
      </c>
    </row>
    <row r="332" spans="1:10">
      <c r="E332" t="s">
        <v>1062</v>
      </c>
    </row>
    <row r="333" spans="1:10">
      <c r="A333" t="s">
        <v>1063</v>
      </c>
      <c r="B333" t="s">
        <v>933</v>
      </c>
      <c r="C333" t="s">
        <v>78</v>
      </c>
      <c r="D333" t="s">
        <v>1064</v>
      </c>
      <c r="E333" t="s">
        <v>1065</v>
      </c>
      <c r="F333" t="s">
        <v>1066</v>
      </c>
      <c r="G333" t="s">
        <v>78</v>
      </c>
      <c r="H333" t="s">
        <v>1067</v>
      </c>
      <c r="J333" t="s">
        <v>464</v>
      </c>
    </row>
    <row r="334" spans="1:10">
      <c r="E334" t="s">
        <v>1068</v>
      </c>
    </row>
    <row r="335" spans="1:10">
      <c r="E335" t="s">
        <v>1069</v>
      </c>
    </row>
    <row r="336" spans="1:10">
      <c r="A336" t="s">
        <v>1070</v>
      </c>
      <c r="B336" t="s">
        <v>933</v>
      </c>
      <c r="C336" t="s">
        <v>82</v>
      </c>
      <c r="D336" t="s">
        <v>1071</v>
      </c>
      <c r="E336" t="s">
        <v>1072</v>
      </c>
      <c r="F336" t="s">
        <v>1073</v>
      </c>
      <c r="G336" t="s">
        <v>82</v>
      </c>
      <c r="H336" t="s">
        <v>1074</v>
      </c>
      <c r="J336" t="s">
        <v>27</v>
      </c>
    </row>
    <row r="337" spans="1:10">
      <c r="E337" t="s">
        <v>1075</v>
      </c>
    </row>
    <row r="338" spans="1:10">
      <c r="A338" t="s">
        <v>1076</v>
      </c>
      <c r="B338" t="s">
        <v>933</v>
      </c>
      <c r="C338" t="s">
        <v>82</v>
      </c>
      <c r="D338" t="s">
        <v>1077</v>
      </c>
      <c r="E338" t="s">
        <v>1078</v>
      </c>
      <c r="F338" t="s">
        <v>1079</v>
      </c>
      <c r="G338" t="s">
        <v>82</v>
      </c>
      <c r="H338" t="s">
        <v>1080</v>
      </c>
      <c r="J338" t="s">
        <v>27</v>
      </c>
    </row>
    <row r="339" spans="1:10">
      <c r="E339" t="s">
        <v>1042</v>
      </c>
    </row>
    <row r="340" spans="1:10">
      <c r="E340" t="s">
        <v>1081</v>
      </c>
    </row>
    <row r="341" spans="1:10">
      <c r="E341" t="s">
        <v>88</v>
      </c>
    </row>
    <row r="342" spans="1:10">
      <c r="E342" t="s">
        <v>1082</v>
      </c>
    </row>
    <row r="343" spans="1:10">
      <c r="A343" t="s">
        <v>1083</v>
      </c>
      <c r="B343" t="s">
        <v>933</v>
      </c>
      <c r="C343" t="s">
        <v>82</v>
      </c>
      <c r="D343" t="s">
        <v>1084</v>
      </c>
      <c r="E343" t="s">
        <v>1085</v>
      </c>
      <c r="F343" t="s">
        <v>1086</v>
      </c>
      <c r="G343" t="s">
        <v>82</v>
      </c>
      <c r="H343" t="s">
        <v>1087</v>
      </c>
      <c r="J343" t="s">
        <v>27</v>
      </c>
    </row>
    <row r="344" spans="1:10">
      <c r="E344" t="s">
        <v>1088</v>
      </c>
    </row>
    <row r="345" spans="1:10">
      <c r="E345" t="s">
        <v>1089</v>
      </c>
    </row>
    <row r="346" spans="1:10">
      <c r="A346" t="s">
        <v>1090</v>
      </c>
      <c r="B346" t="s">
        <v>933</v>
      </c>
      <c r="C346" t="s">
        <v>82</v>
      </c>
      <c r="D346" t="s">
        <v>1091</v>
      </c>
      <c r="E346" t="s">
        <v>1092</v>
      </c>
      <c r="F346" t="s">
        <v>1093</v>
      </c>
      <c r="G346" t="s">
        <v>82</v>
      </c>
      <c r="H346" t="s">
        <v>1094</v>
      </c>
      <c r="J346" t="s">
        <v>27</v>
      </c>
    </row>
    <row r="347" spans="1:10">
      <c r="E347" t="s">
        <v>1095</v>
      </c>
    </row>
    <row r="348" spans="1:10">
      <c r="E348" t="s">
        <v>1096</v>
      </c>
    </row>
    <row r="349" spans="1:10">
      <c r="A349" t="s">
        <v>1097</v>
      </c>
      <c r="B349" t="s">
        <v>933</v>
      </c>
      <c r="C349" t="s">
        <v>82</v>
      </c>
      <c r="D349" t="s">
        <v>1098</v>
      </c>
      <c r="E349" t="s">
        <v>1099</v>
      </c>
      <c r="F349" t="s">
        <v>1100</v>
      </c>
      <c r="G349" t="s">
        <v>82</v>
      </c>
      <c r="H349" t="s">
        <v>1101</v>
      </c>
      <c r="J349" t="s">
        <v>27</v>
      </c>
    </row>
    <row r="350" spans="1:10">
      <c r="E350" t="s">
        <v>1102</v>
      </c>
    </row>
    <row r="351" spans="1:10">
      <c r="E351" t="s">
        <v>1103</v>
      </c>
    </row>
    <row r="352" spans="1:10">
      <c r="E352" t="s">
        <v>1104</v>
      </c>
    </row>
    <row r="353" spans="1:10">
      <c r="A353" t="s">
        <v>1105</v>
      </c>
      <c r="B353" t="s">
        <v>933</v>
      </c>
      <c r="C353" t="s">
        <v>82</v>
      </c>
      <c r="D353" t="s">
        <v>1106</v>
      </c>
      <c r="E353" t="s">
        <v>1107</v>
      </c>
      <c r="F353" t="s">
        <v>1108</v>
      </c>
      <c r="G353" t="s">
        <v>82</v>
      </c>
      <c r="H353" t="s">
        <v>1109</v>
      </c>
      <c r="J353" t="s">
        <v>42</v>
      </c>
    </row>
    <row r="354" spans="1:10">
      <c r="E354" t="s">
        <v>1110</v>
      </c>
    </row>
    <row r="355" spans="1:10">
      <c r="E355" t="s">
        <v>1111</v>
      </c>
    </row>
    <row r="356" spans="1:10">
      <c r="A356" t="s">
        <v>1112</v>
      </c>
      <c r="B356" t="s">
        <v>933</v>
      </c>
      <c r="C356" t="s">
        <v>82</v>
      </c>
      <c r="D356" t="s">
        <v>1113</v>
      </c>
      <c r="E356" t="s">
        <v>1114</v>
      </c>
      <c r="F356" t="s">
        <v>1115</v>
      </c>
      <c r="G356" t="s">
        <v>82</v>
      </c>
      <c r="H356" t="s">
        <v>1116</v>
      </c>
      <c r="J356" t="s">
        <v>42</v>
      </c>
    </row>
    <row r="357" spans="1:10">
      <c r="E357" t="s">
        <v>1117</v>
      </c>
    </row>
    <row r="358" spans="1:10">
      <c r="E358" t="s">
        <v>1118</v>
      </c>
    </row>
    <row r="359" spans="1:10">
      <c r="A359" t="s">
        <v>1119</v>
      </c>
      <c r="B359" t="s">
        <v>933</v>
      </c>
      <c r="C359" t="s">
        <v>82</v>
      </c>
      <c r="D359" t="s">
        <v>1120</v>
      </c>
      <c r="E359" t="s">
        <v>1121</v>
      </c>
      <c r="F359" t="s">
        <v>1122</v>
      </c>
      <c r="G359" t="s">
        <v>82</v>
      </c>
      <c r="H359" t="s">
        <v>1123</v>
      </c>
      <c r="J359" t="s">
        <v>464</v>
      </c>
    </row>
    <row r="360" spans="1:10">
      <c r="E360" t="s">
        <v>1124</v>
      </c>
    </row>
    <row r="361" spans="1:10">
      <c r="E361" t="s">
        <v>1125</v>
      </c>
    </row>
    <row r="362" spans="1:10">
      <c r="E362" t="s">
        <v>1126</v>
      </c>
    </row>
    <row r="363" spans="1:10">
      <c r="A363" t="s">
        <v>1127</v>
      </c>
      <c r="B363" t="s">
        <v>433</v>
      </c>
      <c r="C363" t="s">
        <v>85</v>
      </c>
      <c r="D363" t="s">
        <v>1128</v>
      </c>
      <c r="E363" t="s">
        <v>1129</v>
      </c>
      <c r="F363" t="s">
        <v>1130</v>
      </c>
      <c r="G363" t="s">
        <v>26</v>
      </c>
      <c r="H363" t="s">
        <v>1131</v>
      </c>
      <c r="J363" t="s">
        <v>27</v>
      </c>
    </row>
    <row r="364" spans="1:10">
      <c r="E364" t="s">
        <v>1132</v>
      </c>
    </row>
    <row r="365" spans="1:10">
      <c r="E365" t="s">
        <v>450</v>
      </c>
    </row>
    <row r="366" spans="1:10">
      <c r="E366" t="s">
        <v>1133</v>
      </c>
    </row>
    <row r="367" spans="1:10">
      <c r="E367" t="s">
        <v>1134</v>
      </c>
    </row>
    <row r="368" spans="1:10">
      <c r="E368" t="s">
        <v>1135</v>
      </c>
    </row>
    <row r="369" spans="1:10">
      <c r="E369" t="s">
        <v>1136</v>
      </c>
    </row>
    <row r="370" spans="1:10">
      <c r="E370" t="s">
        <v>1137</v>
      </c>
    </row>
    <row r="371" spans="1:10">
      <c r="E371" t="s">
        <v>1138</v>
      </c>
    </row>
    <row r="372" spans="1:10">
      <c r="A372" t="s">
        <v>1139</v>
      </c>
      <c r="B372" t="s">
        <v>433</v>
      </c>
      <c r="C372" t="s">
        <v>85</v>
      </c>
      <c r="D372" t="s">
        <v>1140</v>
      </c>
      <c r="E372" t="s">
        <v>1141</v>
      </c>
      <c r="F372" t="s">
        <v>1130</v>
      </c>
      <c r="G372" t="s">
        <v>26</v>
      </c>
      <c r="H372" t="s">
        <v>1142</v>
      </c>
      <c r="J372" t="s">
        <v>27</v>
      </c>
    </row>
    <row r="373" spans="1:10">
      <c r="E373" t="s">
        <v>1132</v>
      </c>
    </row>
    <row r="374" spans="1:10">
      <c r="E374" t="s">
        <v>450</v>
      </c>
    </row>
    <row r="375" spans="1:10">
      <c r="E375" t="s">
        <v>1133</v>
      </c>
    </row>
    <row r="376" spans="1:10">
      <c r="E376" t="s">
        <v>1143</v>
      </c>
    </row>
    <row r="377" spans="1:10">
      <c r="A377" t="s">
        <v>1144</v>
      </c>
      <c r="B377" t="s">
        <v>433</v>
      </c>
      <c r="C377" t="s">
        <v>85</v>
      </c>
      <c r="D377" t="s">
        <v>1145</v>
      </c>
      <c r="E377" t="s">
        <v>1146</v>
      </c>
      <c r="F377" t="s">
        <v>1147</v>
      </c>
      <c r="G377" t="s">
        <v>26</v>
      </c>
      <c r="H377" t="s">
        <v>1148</v>
      </c>
      <c r="J377" t="s">
        <v>27</v>
      </c>
    </row>
    <row r="378" spans="1:10">
      <c r="E378" t="s">
        <v>1149</v>
      </c>
    </row>
    <row r="379" spans="1:10">
      <c r="E379" t="s">
        <v>1133</v>
      </c>
    </row>
    <row r="380" spans="1:10">
      <c r="E380" t="s">
        <v>1150</v>
      </c>
      <c r="F380" t="s">
        <v>1151</v>
      </c>
    </row>
    <row r="381" spans="1:10">
      <c r="A381" t="s">
        <v>1152</v>
      </c>
      <c r="B381" t="s">
        <v>433</v>
      </c>
      <c r="C381" t="s">
        <v>85</v>
      </c>
      <c r="D381" t="s">
        <v>1153</v>
      </c>
      <c r="E381" t="s">
        <v>1154</v>
      </c>
      <c r="F381" t="s">
        <v>1130</v>
      </c>
      <c r="G381" t="s">
        <v>26</v>
      </c>
      <c r="H381" t="s">
        <v>1155</v>
      </c>
      <c r="J381" t="s">
        <v>27</v>
      </c>
    </row>
    <row r="382" spans="1:10">
      <c r="E382" t="s">
        <v>1132</v>
      </c>
    </row>
    <row r="383" spans="1:10">
      <c r="E383" t="s">
        <v>1133</v>
      </c>
    </row>
    <row r="384" spans="1:10">
      <c r="E384" t="s">
        <v>1134</v>
      </c>
    </row>
    <row r="385" spans="1:10">
      <c r="E385" t="s">
        <v>1135</v>
      </c>
      <c r="F385" t="s">
        <v>1151</v>
      </c>
    </row>
    <row r="386" spans="1:10">
      <c r="E386" t="s">
        <v>1136</v>
      </c>
    </row>
    <row r="387" spans="1:10">
      <c r="E387" t="s">
        <v>1137</v>
      </c>
    </row>
    <row r="388" spans="1:10">
      <c r="E388" t="s">
        <v>1138</v>
      </c>
    </row>
    <row r="389" spans="1:10">
      <c r="A389" t="s">
        <v>1156</v>
      </c>
      <c r="B389" t="s">
        <v>433</v>
      </c>
      <c r="C389" t="s">
        <v>85</v>
      </c>
      <c r="D389" t="s">
        <v>1157</v>
      </c>
      <c r="E389" t="s">
        <v>1158</v>
      </c>
      <c r="F389" t="s">
        <v>1147</v>
      </c>
      <c r="G389" t="s">
        <v>26</v>
      </c>
      <c r="H389" t="s">
        <v>1159</v>
      </c>
      <c r="J389" t="s">
        <v>42</v>
      </c>
    </row>
    <row r="390" spans="1:10">
      <c r="E390" t="s">
        <v>1160</v>
      </c>
    </row>
    <row r="391" spans="1:10">
      <c r="E391" t="s">
        <v>1161</v>
      </c>
    </row>
    <row r="392" spans="1:10">
      <c r="E392" t="s">
        <v>1162</v>
      </c>
    </row>
    <row r="393" spans="1:10">
      <c r="E393" t="s">
        <v>1163</v>
      </c>
    </row>
    <row r="394" spans="1:10">
      <c r="E394" t="s">
        <v>1164</v>
      </c>
    </row>
    <row r="395" spans="1:10">
      <c r="A395" t="s">
        <v>1165</v>
      </c>
      <c r="B395" t="s">
        <v>433</v>
      </c>
      <c r="C395" t="s">
        <v>85</v>
      </c>
      <c r="D395" t="s">
        <v>1166</v>
      </c>
      <c r="E395" t="s">
        <v>1167</v>
      </c>
      <c r="F395" t="s">
        <v>625</v>
      </c>
      <c r="G395" t="s">
        <v>26</v>
      </c>
      <c r="H395" t="s">
        <v>1168</v>
      </c>
      <c r="J395" t="s">
        <v>27</v>
      </c>
    </row>
    <row r="396" spans="1:10">
      <c r="E396" t="s">
        <v>1169</v>
      </c>
    </row>
    <row r="397" spans="1:10">
      <c r="E397" t="s">
        <v>1170</v>
      </c>
    </row>
    <row r="398" spans="1:10">
      <c r="E398" t="s">
        <v>1171</v>
      </c>
    </row>
    <row r="399" spans="1:10">
      <c r="E399" t="s">
        <v>1172</v>
      </c>
    </row>
    <row r="400" spans="1:10">
      <c r="E400" t="s">
        <v>1173</v>
      </c>
    </row>
    <row r="401" spans="1:15">
      <c r="E401" t="s">
        <v>1136</v>
      </c>
    </row>
    <row r="402" spans="1:15">
      <c r="E402" t="s">
        <v>1137</v>
      </c>
    </row>
    <row r="403" spans="1:15">
      <c r="E403" t="s">
        <v>1174</v>
      </c>
    </row>
    <row r="404" spans="1:15">
      <c r="A404" t="s">
        <v>1175</v>
      </c>
      <c r="B404" t="s">
        <v>433</v>
      </c>
      <c r="C404" t="s">
        <v>88</v>
      </c>
      <c r="D404" t="s">
        <v>1176</v>
      </c>
      <c r="E404" t="s">
        <v>1177</v>
      </c>
      <c r="F404" t="s">
        <v>445</v>
      </c>
      <c r="G404" t="s">
        <v>26</v>
      </c>
      <c r="H404" t="s">
        <v>1178</v>
      </c>
      <c r="J404" t="s">
        <v>464</v>
      </c>
    </row>
    <row r="405" spans="1:15">
      <c r="E405" t="s">
        <v>1179</v>
      </c>
    </row>
    <row r="406" spans="1:15">
      <c r="E406" t="s">
        <v>1180</v>
      </c>
    </row>
    <row r="407" spans="1:15">
      <c r="A407" t="s">
        <v>1181</v>
      </c>
      <c r="B407" t="s">
        <v>433</v>
      </c>
      <c r="C407" t="s">
        <v>88</v>
      </c>
      <c r="D407" t="s">
        <v>1182</v>
      </c>
      <c r="E407" t="s">
        <v>1177</v>
      </c>
      <c r="F407" t="s">
        <v>500</v>
      </c>
      <c r="G407" t="s">
        <v>26</v>
      </c>
      <c r="H407" t="s">
        <v>1183</v>
      </c>
      <c r="J407" t="s">
        <v>27</v>
      </c>
      <c r="K407" t="s">
        <v>1184</v>
      </c>
      <c r="L407" t="s">
        <v>438</v>
      </c>
      <c r="M407" t="s">
        <v>1185</v>
      </c>
      <c r="N407" t="s">
        <v>1184</v>
      </c>
      <c r="O407" t="s">
        <v>1186</v>
      </c>
    </row>
    <row r="408" spans="1:15">
      <c r="E408" t="s">
        <v>1187</v>
      </c>
    </row>
    <row r="409" spans="1:15">
      <c r="E409" t="s">
        <v>1188</v>
      </c>
    </row>
    <row r="410" spans="1:15">
      <c r="E410" t="s">
        <v>1189</v>
      </c>
    </row>
    <row r="411" spans="1:15">
      <c r="A411" t="s">
        <v>1190</v>
      </c>
      <c r="B411" t="s">
        <v>433</v>
      </c>
      <c r="C411" t="s">
        <v>88</v>
      </c>
      <c r="D411" t="s">
        <v>1191</v>
      </c>
      <c r="E411" t="s">
        <v>1192</v>
      </c>
      <c r="F411" t="s">
        <v>500</v>
      </c>
      <c r="G411" t="s">
        <v>75</v>
      </c>
      <c r="H411" t="s">
        <v>1193</v>
      </c>
      <c r="J411" t="s">
        <v>27</v>
      </c>
      <c r="K411" t="s">
        <v>1194</v>
      </c>
      <c r="L411" t="s">
        <v>438</v>
      </c>
      <c r="M411" t="s">
        <v>1195</v>
      </c>
      <c r="N411" t="s">
        <v>1194</v>
      </c>
      <c r="O411" t="s">
        <v>1196</v>
      </c>
    </row>
    <row r="412" spans="1:15">
      <c r="E412" t="s">
        <v>1197</v>
      </c>
    </row>
    <row r="413" spans="1:15">
      <c r="E413" t="s">
        <v>1198</v>
      </c>
    </row>
    <row r="414" spans="1:15">
      <c r="A414" t="s">
        <v>1199</v>
      </c>
      <c r="B414" t="s">
        <v>433</v>
      </c>
      <c r="C414" t="s">
        <v>88</v>
      </c>
      <c r="D414" t="s">
        <v>1200</v>
      </c>
      <c r="E414" t="s">
        <v>1201</v>
      </c>
      <c r="F414" t="s">
        <v>500</v>
      </c>
      <c r="G414" t="s">
        <v>75</v>
      </c>
      <c r="H414" t="s">
        <v>1202</v>
      </c>
      <c r="J414" t="s">
        <v>27</v>
      </c>
      <c r="K414" t="s">
        <v>1203</v>
      </c>
      <c r="L414" t="s">
        <v>438</v>
      </c>
      <c r="M414" t="s">
        <v>1204</v>
      </c>
      <c r="N414" t="s">
        <v>1203</v>
      </c>
      <c r="O414" t="s">
        <v>1205</v>
      </c>
    </row>
    <row r="415" spans="1:15">
      <c r="E415" t="s">
        <v>1206</v>
      </c>
    </row>
    <row r="416" spans="1:15">
      <c r="E416" t="s">
        <v>1207</v>
      </c>
    </row>
    <row r="417" spans="1:15">
      <c r="A417" t="s">
        <v>1208</v>
      </c>
      <c r="B417" t="s">
        <v>433</v>
      </c>
      <c r="C417" t="s">
        <v>88</v>
      </c>
      <c r="D417" t="s">
        <v>1209</v>
      </c>
      <c r="E417" t="s">
        <v>1210</v>
      </c>
      <c r="F417" t="s">
        <v>500</v>
      </c>
      <c r="G417" t="s">
        <v>26</v>
      </c>
      <c r="H417" t="s">
        <v>1211</v>
      </c>
      <c r="I417" t="s">
        <v>1211</v>
      </c>
      <c r="J417" t="s">
        <v>42</v>
      </c>
      <c r="K417" t="s">
        <v>1212</v>
      </c>
      <c r="L417" t="s">
        <v>438</v>
      </c>
      <c r="M417" t="s">
        <v>1213</v>
      </c>
      <c r="N417" t="s">
        <v>1212</v>
      </c>
      <c r="O417" t="s">
        <v>1214</v>
      </c>
    </row>
    <row r="418" spans="1:15">
      <c r="E418" t="s">
        <v>1188</v>
      </c>
    </row>
    <row r="419" spans="1:15">
      <c r="E419" t="s">
        <v>516</v>
      </c>
    </row>
    <row r="420" spans="1:15">
      <c r="E420" t="s">
        <v>1215</v>
      </c>
    </row>
    <row r="421" spans="1:15">
      <c r="A421" t="s">
        <v>1216</v>
      </c>
      <c r="B421" t="s">
        <v>433</v>
      </c>
      <c r="C421" t="s">
        <v>88</v>
      </c>
      <c r="D421" t="s">
        <v>1217</v>
      </c>
      <c r="E421" t="s">
        <v>1218</v>
      </c>
      <c r="F421" t="s">
        <v>500</v>
      </c>
      <c r="G421" t="s">
        <v>26</v>
      </c>
      <c r="H421" t="s">
        <v>1219</v>
      </c>
      <c r="I421" t="s">
        <v>1219</v>
      </c>
      <c r="J421" t="s">
        <v>42</v>
      </c>
      <c r="K421" t="s">
        <v>1220</v>
      </c>
      <c r="L421" t="s">
        <v>438</v>
      </c>
      <c r="M421" t="s">
        <v>1221</v>
      </c>
      <c r="N421" t="s">
        <v>1220</v>
      </c>
      <c r="O421" t="s">
        <v>1222</v>
      </c>
    </row>
    <row r="422" spans="1:15">
      <c r="E422" t="s">
        <v>1223</v>
      </c>
    </row>
    <row r="423" spans="1:15">
      <c r="E423" t="s">
        <v>1224</v>
      </c>
    </row>
    <row r="424" spans="1:15">
      <c r="A424" t="s">
        <v>1225</v>
      </c>
      <c r="B424" t="s">
        <v>433</v>
      </c>
      <c r="C424" t="s">
        <v>88</v>
      </c>
      <c r="D424" t="s">
        <v>1226</v>
      </c>
      <c r="E424" t="s">
        <v>1192</v>
      </c>
      <c r="F424" t="s">
        <v>500</v>
      </c>
      <c r="G424" t="s">
        <v>26</v>
      </c>
      <c r="H424" t="s">
        <v>1227</v>
      </c>
      <c r="I424" t="s">
        <v>1227</v>
      </c>
      <c r="J424" t="s">
        <v>42</v>
      </c>
      <c r="K424" t="s">
        <v>1213</v>
      </c>
      <c r="L424" t="s">
        <v>438</v>
      </c>
      <c r="M424" t="s">
        <v>1228</v>
      </c>
      <c r="N424" t="s">
        <v>1213</v>
      </c>
      <c r="O424" t="s">
        <v>1229</v>
      </c>
    </row>
    <row r="425" spans="1:15">
      <c r="E425" t="s">
        <v>1230</v>
      </c>
    </row>
    <row r="426" spans="1:15">
      <c r="E426" t="s">
        <v>506</v>
      </c>
    </row>
    <row r="427" spans="1:15">
      <c r="A427" t="s">
        <v>1231</v>
      </c>
      <c r="B427" t="s">
        <v>433</v>
      </c>
      <c r="C427" t="s">
        <v>88</v>
      </c>
      <c r="D427" t="s">
        <v>1232</v>
      </c>
      <c r="E427" t="s">
        <v>1233</v>
      </c>
      <c r="F427" t="s">
        <v>445</v>
      </c>
      <c r="G427" t="s">
        <v>26</v>
      </c>
      <c r="H427" t="s">
        <v>1234</v>
      </c>
      <c r="J427" t="s">
        <v>42</v>
      </c>
    </row>
    <row r="428" spans="1:15">
      <c r="E428" t="s">
        <v>1235</v>
      </c>
    </row>
    <row r="429" spans="1:15">
      <c r="E429" t="s">
        <v>1236</v>
      </c>
    </row>
    <row r="430" spans="1:15">
      <c r="E430" t="s">
        <v>1237</v>
      </c>
    </row>
    <row r="431" spans="1:15">
      <c r="A431" t="s">
        <v>1238</v>
      </c>
      <c r="B431" t="s">
        <v>433</v>
      </c>
      <c r="C431" t="s">
        <v>88</v>
      </c>
      <c r="D431" t="s">
        <v>1239</v>
      </c>
      <c r="E431" t="s">
        <v>1240</v>
      </c>
      <c r="F431" t="s">
        <v>445</v>
      </c>
      <c r="G431" t="s">
        <v>26</v>
      </c>
      <c r="H431" t="s">
        <v>1241</v>
      </c>
      <c r="J431" t="s">
        <v>42</v>
      </c>
    </row>
    <row r="432" spans="1:15">
      <c r="E432" t="s">
        <v>1242</v>
      </c>
    </row>
    <row r="433" spans="5:5">
      <c r="E433" t="s">
        <v>1243</v>
      </c>
    </row>
    <row r="434" spans="5:5">
      <c r="E434" t="s">
        <v>1244</v>
      </c>
    </row>
    <row r="435" spans="5:5">
      <c r="E435" t="s">
        <v>1245</v>
      </c>
    </row>
  </sheetData>
  <pageMargins left="0.75" right="0.75" top="1" bottom="1" header="0.5" footer="0.5"/>
  <headerFooter/>
  <ignoredErrors>
    <ignoredError sqref="A1:O435" numberStoredAsText="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2"/>
  <sheetViews>
    <sheetView tabSelected="1" topLeftCell="A55" workbookViewId="0">
      <selection activeCell="M69" sqref="M69"/>
    </sheetView>
  </sheetViews>
  <sheetFormatPr defaultColWidth="9" defaultRowHeight="15.6"/>
  <sheetData>
    <row r="1" spans="1:15">
      <c r="A1" t="s">
        <v>417</v>
      </c>
      <c r="B1" t="s">
        <v>418</v>
      </c>
      <c r="C1" t="s">
        <v>419</v>
      </c>
      <c r="D1" t="s">
        <v>420</v>
      </c>
      <c r="E1" t="s">
        <v>421</v>
      </c>
      <c r="F1" t="s">
        <v>422</v>
      </c>
      <c r="G1" t="s">
        <v>423</v>
      </c>
      <c r="H1" t="s">
        <v>424</v>
      </c>
      <c r="I1" t="s">
        <v>425</v>
      </c>
      <c r="J1" t="s">
        <v>426</v>
      </c>
      <c r="K1" t="s">
        <v>427</v>
      </c>
      <c r="L1" t="s">
        <v>428</v>
      </c>
      <c r="M1" t="s">
        <v>429</v>
      </c>
      <c r="N1" t="s">
        <v>430</v>
      </c>
      <c r="O1" t="s">
        <v>431</v>
      </c>
    </row>
    <row r="2" spans="1:15">
      <c r="A2" t="s">
        <v>1246</v>
      </c>
      <c r="B2" t="s">
        <v>433</v>
      </c>
      <c r="C2" t="s">
        <v>206</v>
      </c>
      <c r="D2" t="s">
        <v>1247</v>
      </c>
      <c r="E2" t="s">
        <v>1248</v>
      </c>
      <c r="G2" t="s">
        <v>26</v>
      </c>
      <c r="H2" t="s">
        <v>1249</v>
      </c>
      <c r="J2" t="s">
        <v>27</v>
      </c>
    </row>
    <row r="3" spans="1:15">
      <c r="E3" t="s">
        <v>1250</v>
      </c>
    </row>
    <row r="4" spans="1:15">
      <c r="A4" t="s">
        <v>1251</v>
      </c>
      <c r="B4" t="s">
        <v>433</v>
      </c>
      <c r="C4" t="s">
        <v>206</v>
      </c>
      <c r="D4" t="s">
        <v>1252</v>
      </c>
      <c r="E4" t="s">
        <v>1253</v>
      </c>
      <c r="G4" t="s">
        <v>26</v>
      </c>
      <c r="H4" t="s">
        <v>1254</v>
      </c>
      <c r="J4" t="s">
        <v>42</v>
      </c>
    </row>
    <row r="5" spans="1:15">
      <c r="E5" t="s">
        <v>1255</v>
      </c>
    </row>
    <row r="6" spans="1:15">
      <c r="A6" t="s">
        <v>1256</v>
      </c>
      <c r="B6" t="s">
        <v>433</v>
      </c>
      <c r="C6" t="s">
        <v>206</v>
      </c>
      <c r="D6" t="s">
        <v>1257</v>
      </c>
      <c r="E6" t="s">
        <v>1258</v>
      </c>
      <c r="F6" t="s">
        <v>1259</v>
      </c>
      <c r="G6" t="s">
        <v>26</v>
      </c>
      <c r="H6" t="s">
        <v>1260</v>
      </c>
      <c r="J6" t="s">
        <v>27</v>
      </c>
    </row>
    <row r="7" spans="1:15">
      <c r="E7" t="s">
        <v>1261</v>
      </c>
    </row>
    <row r="8" spans="1:15">
      <c r="E8" t="s">
        <v>1262</v>
      </c>
    </row>
    <row r="9" spans="1:15">
      <c r="A9" t="s">
        <v>1263</v>
      </c>
      <c r="B9" t="s">
        <v>433</v>
      </c>
      <c r="C9" t="s">
        <v>206</v>
      </c>
      <c r="D9" t="s">
        <v>1264</v>
      </c>
      <c r="E9" t="s">
        <v>1265</v>
      </c>
      <c r="F9" t="s">
        <v>1266</v>
      </c>
      <c r="G9" t="s">
        <v>26</v>
      </c>
      <c r="H9" t="s">
        <v>1267</v>
      </c>
      <c r="J9" t="s">
        <v>27</v>
      </c>
    </row>
    <row r="10" spans="1:15">
      <c r="E10" t="s">
        <v>1268</v>
      </c>
    </row>
    <row r="11" spans="1:15">
      <c r="E11" t="s">
        <v>1262</v>
      </c>
    </row>
    <row r="12" spans="1:15">
      <c r="A12" t="s">
        <v>1269</v>
      </c>
      <c r="B12" t="s">
        <v>433</v>
      </c>
      <c r="C12" t="s">
        <v>206</v>
      </c>
      <c r="D12" t="s">
        <v>1270</v>
      </c>
      <c r="E12" t="s">
        <v>1265</v>
      </c>
      <c r="F12" t="s">
        <v>1271</v>
      </c>
      <c r="G12" t="s">
        <v>521</v>
      </c>
      <c r="H12" t="s">
        <v>1272</v>
      </c>
      <c r="J12" t="s">
        <v>42</v>
      </c>
    </row>
    <row r="13" spans="1:15">
      <c r="E13" t="s">
        <v>1273</v>
      </c>
    </row>
    <row r="14" spans="1:15">
      <c r="E14" t="s">
        <v>1262</v>
      </c>
    </row>
    <row r="15" spans="1:15">
      <c r="A15" t="s">
        <v>1274</v>
      </c>
      <c r="B15" t="s">
        <v>433</v>
      </c>
      <c r="C15" t="s">
        <v>206</v>
      </c>
      <c r="D15" t="s">
        <v>1275</v>
      </c>
      <c r="E15" t="s">
        <v>1265</v>
      </c>
      <c r="F15" t="s">
        <v>1276</v>
      </c>
      <c r="G15" t="s">
        <v>75</v>
      </c>
      <c r="H15" t="s">
        <v>1277</v>
      </c>
      <c r="J15" t="s">
        <v>27</v>
      </c>
    </row>
    <row r="16" spans="1:15">
      <c r="E16" t="s">
        <v>1278</v>
      </c>
    </row>
    <row r="17" spans="1:10">
      <c r="E17" t="s">
        <v>1279</v>
      </c>
    </row>
    <row r="18" spans="1:10">
      <c r="A18" t="s">
        <v>1280</v>
      </c>
      <c r="B18" t="s">
        <v>433</v>
      </c>
      <c r="C18" t="s">
        <v>206</v>
      </c>
      <c r="D18" t="s">
        <v>1281</v>
      </c>
      <c r="E18" t="s">
        <v>1282</v>
      </c>
      <c r="G18" t="s">
        <v>26</v>
      </c>
      <c r="H18" t="s">
        <v>1283</v>
      </c>
      <c r="J18" t="s">
        <v>27</v>
      </c>
    </row>
    <row r="19" spans="1:10">
      <c r="E19" t="s">
        <v>1284</v>
      </c>
    </row>
    <row r="20" spans="1:10">
      <c r="E20" t="s">
        <v>1262</v>
      </c>
    </row>
    <row r="21" spans="1:10">
      <c r="A21" t="s">
        <v>1285</v>
      </c>
      <c r="B21" t="s">
        <v>433</v>
      </c>
      <c r="C21" t="s">
        <v>206</v>
      </c>
      <c r="D21" t="s">
        <v>1286</v>
      </c>
      <c r="E21" t="s">
        <v>1287</v>
      </c>
      <c r="G21" t="s">
        <v>26</v>
      </c>
      <c r="H21" t="s">
        <v>1288</v>
      </c>
      <c r="J21" t="s">
        <v>42</v>
      </c>
    </row>
    <row r="22" spans="1:10">
      <c r="E22" t="s">
        <v>1289</v>
      </c>
    </row>
    <row r="23" spans="1:10">
      <c r="A23" t="s">
        <v>1290</v>
      </c>
      <c r="B23" t="s">
        <v>433</v>
      </c>
      <c r="C23" t="s">
        <v>206</v>
      </c>
      <c r="D23" t="s">
        <v>1291</v>
      </c>
      <c r="E23" t="s">
        <v>1292</v>
      </c>
      <c r="G23" t="s">
        <v>26</v>
      </c>
      <c r="H23" t="s">
        <v>1293</v>
      </c>
      <c r="J23" t="s">
        <v>42</v>
      </c>
    </row>
    <row r="24" spans="1:10">
      <c r="E24" t="s">
        <v>1294</v>
      </c>
    </row>
    <row r="25" spans="1:10">
      <c r="A25" t="s">
        <v>1295</v>
      </c>
      <c r="B25" t="s">
        <v>433</v>
      </c>
      <c r="C25" t="s">
        <v>206</v>
      </c>
      <c r="D25" t="s">
        <v>1296</v>
      </c>
      <c r="E25" t="s">
        <v>1297</v>
      </c>
      <c r="G25" t="s">
        <v>26</v>
      </c>
      <c r="H25" t="s">
        <v>1298</v>
      </c>
      <c r="J25" t="s">
        <v>42</v>
      </c>
    </row>
    <row r="26" spans="1:10">
      <c r="E26" t="s">
        <v>1299</v>
      </c>
    </row>
    <row r="27" spans="1:10">
      <c r="E27" t="s">
        <v>1300</v>
      </c>
    </row>
    <row r="28" spans="1:10">
      <c r="E28" t="s">
        <v>1301</v>
      </c>
    </row>
    <row r="29" spans="1:10">
      <c r="A29" t="s">
        <v>1302</v>
      </c>
      <c r="B29" t="s">
        <v>433</v>
      </c>
      <c r="C29" t="s">
        <v>206</v>
      </c>
      <c r="D29" t="s">
        <v>1303</v>
      </c>
      <c r="E29" t="s">
        <v>1265</v>
      </c>
      <c r="G29" t="s">
        <v>26</v>
      </c>
      <c r="H29" t="s">
        <v>1304</v>
      </c>
      <c r="J29" t="s">
        <v>42</v>
      </c>
    </row>
    <row r="30" spans="1:10">
      <c r="E30" t="s">
        <v>1305</v>
      </c>
    </row>
    <row r="31" spans="1:10">
      <c r="E31" t="s">
        <v>1306</v>
      </c>
    </row>
    <row r="32" spans="1:10">
      <c r="A32" t="s">
        <v>1307</v>
      </c>
      <c r="B32" t="s">
        <v>433</v>
      </c>
      <c r="C32" t="s">
        <v>206</v>
      </c>
      <c r="D32" t="s">
        <v>1308</v>
      </c>
      <c r="E32" t="s">
        <v>1265</v>
      </c>
      <c r="G32" t="s">
        <v>26</v>
      </c>
      <c r="H32" t="s">
        <v>1309</v>
      </c>
      <c r="J32" t="s">
        <v>27</v>
      </c>
    </row>
    <row r="33" spans="1:10">
      <c r="E33" t="s">
        <v>1310</v>
      </c>
    </row>
    <row r="34" spans="1:10">
      <c r="A34" t="s">
        <v>1311</v>
      </c>
      <c r="B34" t="s">
        <v>433</v>
      </c>
      <c r="C34" t="s">
        <v>206</v>
      </c>
      <c r="D34" t="s">
        <v>1312</v>
      </c>
      <c r="E34" t="s">
        <v>1313</v>
      </c>
      <c r="G34" t="s">
        <v>26</v>
      </c>
      <c r="H34" t="s">
        <v>1314</v>
      </c>
      <c r="J34" t="s">
        <v>42</v>
      </c>
    </row>
    <row r="35" spans="1:10">
      <c r="E35" t="s">
        <v>1315</v>
      </c>
    </row>
    <row r="36" spans="1:10">
      <c r="A36" t="s">
        <v>1316</v>
      </c>
      <c r="B36" t="s">
        <v>433</v>
      </c>
      <c r="C36" t="s">
        <v>206</v>
      </c>
      <c r="D36" t="s">
        <v>1317</v>
      </c>
      <c r="E36" t="s">
        <v>1265</v>
      </c>
      <c r="G36" t="s">
        <v>26</v>
      </c>
      <c r="H36" t="s">
        <v>1318</v>
      </c>
      <c r="J36" t="s">
        <v>42</v>
      </c>
    </row>
    <row r="37" spans="1:10">
      <c r="E37" t="s">
        <v>1319</v>
      </c>
    </row>
    <row r="38" spans="1:10">
      <c r="E38" t="s">
        <v>1320</v>
      </c>
    </row>
    <row r="39" spans="1:10">
      <c r="E39" t="s">
        <v>1321</v>
      </c>
    </row>
    <row r="40" spans="1:10">
      <c r="A40" t="s">
        <v>1322</v>
      </c>
      <c r="B40" t="s">
        <v>433</v>
      </c>
      <c r="C40" t="s">
        <v>206</v>
      </c>
      <c r="D40" t="s">
        <v>1323</v>
      </c>
      <c r="E40" t="s">
        <v>1324</v>
      </c>
      <c r="G40" t="s">
        <v>26</v>
      </c>
      <c r="H40" t="s">
        <v>1325</v>
      </c>
      <c r="J40" t="s">
        <v>42</v>
      </c>
    </row>
    <row r="41" spans="1:10">
      <c r="E41" t="s">
        <v>1326</v>
      </c>
    </row>
    <row r="42" spans="1:10">
      <c r="E42" t="s">
        <v>1327</v>
      </c>
    </row>
    <row r="43" spans="1:10">
      <c r="A43" t="s">
        <v>1328</v>
      </c>
      <c r="B43" t="s">
        <v>433</v>
      </c>
      <c r="C43" t="s">
        <v>206</v>
      </c>
      <c r="D43" t="s">
        <v>1329</v>
      </c>
      <c r="E43" t="s">
        <v>1265</v>
      </c>
      <c r="G43" t="s">
        <v>26</v>
      </c>
      <c r="H43" t="s">
        <v>1330</v>
      </c>
      <c r="J43" t="s">
        <v>464</v>
      </c>
    </row>
    <row r="44" spans="1:10">
      <c r="E44" t="s">
        <v>1331</v>
      </c>
    </row>
    <row r="45" spans="1:10">
      <c r="A45" t="s">
        <v>1332</v>
      </c>
      <c r="B45" t="s">
        <v>433</v>
      </c>
      <c r="C45" t="s">
        <v>206</v>
      </c>
      <c r="D45" t="s">
        <v>1333</v>
      </c>
      <c r="E45" t="s">
        <v>1334</v>
      </c>
      <c r="G45" t="s">
        <v>26</v>
      </c>
      <c r="H45" t="s">
        <v>1335</v>
      </c>
      <c r="J45" t="s">
        <v>27</v>
      </c>
    </row>
    <row r="46" spans="1:10">
      <c r="E46" t="s">
        <v>1336</v>
      </c>
    </row>
    <row r="47" spans="1:10">
      <c r="E47" t="s">
        <v>1337</v>
      </c>
    </row>
    <row r="48" spans="1:10">
      <c r="A48" t="s">
        <v>1338</v>
      </c>
      <c r="B48" t="s">
        <v>433</v>
      </c>
      <c r="C48" t="s">
        <v>206</v>
      </c>
      <c r="D48" t="s">
        <v>1339</v>
      </c>
      <c r="E48" t="s">
        <v>1340</v>
      </c>
      <c r="G48" t="s">
        <v>26</v>
      </c>
      <c r="H48" t="s">
        <v>1341</v>
      </c>
      <c r="J48" t="s">
        <v>27</v>
      </c>
    </row>
    <row r="49" spans="1:10">
      <c r="E49" t="s">
        <v>1342</v>
      </c>
    </row>
    <row r="50" spans="1:10">
      <c r="E50" t="s">
        <v>1343</v>
      </c>
    </row>
    <row r="51" spans="1:10">
      <c r="E51" t="s">
        <v>1344</v>
      </c>
    </row>
    <row r="52" spans="1:10">
      <c r="A52" t="s">
        <v>1345</v>
      </c>
      <c r="B52" t="s">
        <v>433</v>
      </c>
      <c r="C52" t="s">
        <v>206</v>
      </c>
      <c r="D52" t="s">
        <v>1346</v>
      </c>
      <c r="E52" t="s">
        <v>1347</v>
      </c>
      <c r="G52" t="s">
        <v>26</v>
      </c>
      <c r="H52" t="s">
        <v>1348</v>
      </c>
      <c r="J52" t="s">
        <v>27</v>
      </c>
    </row>
    <row r="53" spans="1:10">
      <c r="E53" t="s">
        <v>1349</v>
      </c>
    </row>
    <row r="54" spans="1:10">
      <c r="E54" t="s">
        <v>1350</v>
      </c>
    </row>
    <row r="55" spans="1:10">
      <c r="A55" t="s">
        <v>1351</v>
      </c>
      <c r="B55" t="s">
        <v>433</v>
      </c>
      <c r="C55" t="s">
        <v>206</v>
      </c>
      <c r="D55" t="s">
        <v>1352</v>
      </c>
      <c r="E55" t="s">
        <v>1353</v>
      </c>
      <c r="G55" t="s">
        <v>26</v>
      </c>
      <c r="H55" t="s">
        <v>1354</v>
      </c>
      <c r="J55" t="s">
        <v>27</v>
      </c>
    </row>
    <row r="56" spans="1:10">
      <c r="E56" t="s">
        <v>1355</v>
      </c>
    </row>
    <row r="57" spans="1:10">
      <c r="E57" t="s">
        <v>1356</v>
      </c>
    </row>
    <row r="58" spans="1:10">
      <c r="A58" t="s">
        <v>1357</v>
      </c>
      <c r="B58" t="s">
        <v>433</v>
      </c>
      <c r="C58" t="s">
        <v>206</v>
      </c>
      <c r="D58" t="s">
        <v>1358</v>
      </c>
      <c r="E58" t="s">
        <v>1359</v>
      </c>
      <c r="G58" t="s">
        <v>521</v>
      </c>
      <c r="H58" t="s">
        <v>1360</v>
      </c>
      <c r="J58" t="s">
        <v>27</v>
      </c>
    </row>
    <row r="59" spans="1:10">
      <c r="E59" t="s">
        <v>1355</v>
      </c>
    </row>
    <row r="60" spans="1:10">
      <c r="E60" t="s">
        <v>1361</v>
      </c>
    </row>
    <row r="61" spans="1:10">
      <c r="A61" t="s">
        <v>1362</v>
      </c>
      <c r="B61" t="s">
        <v>433</v>
      </c>
      <c r="C61" t="s">
        <v>206</v>
      </c>
      <c r="D61" t="s">
        <v>1363</v>
      </c>
      <c r="E61" t="s">
        <v>1364</v>
      </c>
      <c r="G61" t="s">
        <v>521</v>
      </c>
      <c r="H61" t="s">
        <v>1365</v>
      </c>
      <c r="J61" t="s">
        <v>27</v>
      </c>
    </row>
    <row r="62" spans="1:10">
      <c r="E62" t="s">
        <v>1366</v>
      </c>
    </row>
    <row r="63" spans="1:10">
      <c r="A63" t="s">
        <v>1367</v>
      </c>
      <c r="B63" t="s">
        <v>433</v>
      </c>
      <c r="C63" t="s">
        <v>206</v>
      </c>
      <c r="D63" t="s">
        <v>1368</v>
      </c>
      <c r="E63" t="s">
        <v>1369</v>
      </c>
      <c r="G63" t="s">
        <v>26</v>
      </c>
      <c r="H63" t="s">
        <v>1370</v>
      </c>
      <c r="J63" t="s">
        <v>27</v>
      </c>
    </row>
    <row r="64" spans="1:10">
      <c r="E64" t="s">
        <v>1371</v>
      </c>
    </row>
    <row r="65" spans="1:15">
      <c r="E65" t="s">
        <v>1372</v>
      </c>
    </row>
    <row r="66" spans="1:15">
      <c r="E66" t="s">
        <v>1373</v>
      </c>
    </row>
    <row r="67" spans="1:15">
      <c r="A67" t="s">
        <v>1374</v>
      </c>
      <c r="B67" t="s">
        <v>433</v>
      </c>
      <c r="C67" t="s">
        <v>206</v>
      </c>
      <c r="D67" t="s">
        <v>1375</v>
      </c>
      <c r="E67" t="s">
        <v>1376</v>
      </c>
      <c r="G67" t="s">
        <v>521</v>
      </c>
      <c r="H67" t="s">
        <v>1377</v>
      </c>
      <c r="J67" t="s">
        <v>42</v>
      </c>
    </row>
    <row r="68" spans="1:15">
      <c r="E68" t="s">
        <v>1378</v>
      </c>
    </row>
    <row r="69" spans="1:15">
      <c r="A69" t="s">
        <v>1379</v>
      </c>
      <c r="B69" t="s">
        <v>433</v>
      </c>
      <c r="C69" t="s">
        <v>206</v>
      </c>
      <c r="D69" t="s">
        <v>1380</v>
      </c>
      <c r="E69" t="s">
        <v>1381</v>
      </c>
      <c r="F69" t="s">
        <v>1382</v>
      </c>
      <c r="G69" t="s">
        <v>78</v>
      </c>
      <c r="H69" t="s">
        <v>1383</v>
      </c>
      <c r="I69" t="s">
        <v>1384</v>
      </c>
      <c r="J69" t="s">
        <v>42</v>
      </c>
      <c r="K69" t="s">
        <v>1385</v>
      </c>
      <c r="L69" t="s">
        <v>1386</v>
      </c>
      <c r="M69" t="s">
        <v>1387</v>
      </c>
      <c r="N69" t="s">
        <v>1385</v>
      </c>
      <c r="O69" t="s">
        <v>1388</v>
      </c>
    </row>
    <row r="70" spans="1:15">
      <c r="E70" t="s">
        <v>1389</v>
      </c>
    </row>
    <row r="71" spans="1:15">
      <c r="E71" t="s">
        <v>1390</v>
      </c>
    </row>
    <row r="72" spans="1:15">
      <c r="A72" t="s">
        <v>1391</v>
      </c>
      <c r="B72" t="s">
        <v>433</v>
      </c>
      <c r="C72" t="s">
        <v>211</v>
      </c>
      <c r="D72" t="s">
        <v>1392</v>
      </c>
      <c r="E72" t="s">
        <v>1393</v>
      </c>
      <c r="G72" t="s">
        <v>26</v>
      </c>
      <c r="H72" t="s">
        <v>1394</v>
      </c>
      <c r="J72" t="s">
        <v>27</v>
      </c>
    </row>
    <row r="73" spans="1:15">
      <c r="E73" t="s">
        <v>1395</v>
      </c>
    </row>
    <row r="74" spans="1:15">
      <c r="A74" t="s">
        <v>1396</v>
      </c>
      <c r="B74" t="s">
        <v>433</v>
      </c>
      <c r="C74" t="s">
        <v>211</v>
      </c>
      <c r="D74" t="s">
        <v>1397</v>
      </c>
      <c r="E74" t="s">
        <v>1398</v>
      </c>
      <c r="F74" t="s">
        <v>1399</v>
      </c>
      <c r="G74" t="s">
        <v>26</v>
      </c>
      <c r="H74" t="s">
        <v>1400</v>
      </c>
      <c r="J74" t="s">
        <v>27</v>
      </c>
    </row>
    <row r="75" spans="1:15">
      <c r="E75" t="s">
        <v>1401</v>
      </c>
    </row>
    <row r="76" spans="1:15">
      <c r="E76" t="s">
        <v>714</v>
      </c>
    </row>
    <row r="77" spans="1:15">
      <c r="A77" t="s">
        <v>1402</v>
      </c>
      <c r="B77" t="s">
        <v>433</v>
      </c>
      <c r="C77" t="s">
        <v>211</v>
      </c>
      <c r="D77" t="s">
        <v>1403</v>
      </c>
      <c r="E77" t="s">
        <v>1404</v>
      </c>
      <c r="G77" t="s">
        <v>26</v>
      </c>
      <c r="H77" t="s">
        <v>1405</v>
      </c>
      <c r="J77" t="s">
        <v>27</v>
      </c>
    </row>
    <row r="78" spans="1:15">
      <c r="E78" t="s">
        <v>1406</v>
      </c>
    </row>
    <row r="79" spans="1:15">
      <c r="A79" t="s">
        <v>1407</v>
      </c>
      <c r="B79" t="s">
        <v>433</v>
      </c>
      <c r="C79" t="s">
        <v>211</v>
      </c>
      <c r="D79" t="s">
        <v>1408</v>
      </c>
      <c r="E79" t="s">
        <v>1409</v>
      </c>
      <c r="G79" t="s">
        <v>26</v>
      </c>
      <c r="H79" t="s">
        <v>1410</v>
      </c>
      <c r="J79" t="s">
        <v>42</v>
      </c>
    </row>
    <row r="80" spans="1:15">
      <c r="E80" t="s">
        <v>1411</v>
      </c>
    </row>
    <row r="81" spans="1:10">
      <c r="A81" t="s">
        <v>1412</v>
      </c>
      <c r="B81" t="s">
        <v>433</v>
      </c>
      <c r="C81" t="s">
        <v>211</v>
      </c>
      <c r="D81" t="s">
        <v>1413</v>
      </c>
      <c r="E81" t="s">
        <v>1398</v>
      </c>
      <c r="G81" t="s">
        <v>26</v>
      </c>
      <c r="H81" t="s">
        <v>1414</v>
      </c>
      <c r="J81" t="s">
        <v>42</v>
      </c>
    </row>
    <row r="82" spans="1:10">
      <c r="E82" t="s">
        <v>1415</v>
      </c>
    </row>
    <row r="83" spans="1:10">
      <c r="E83" t="s">
        <v>1416</v>
      </c>
    </row>
    <row r="84" spans="1:10">
      <c r="E84" t="s">
        <v>1417</v>
      </c>
    </row>
    <row r="85" spans="1:10">
      <c r="A85" t="s">
        <v>1418</v>
      </c>
      <c r="B85" t="s">
        <v>433</v>
      </c>
      <c r="C85" t="s">
        <v>211</v>
      </c>
      <c r="D85" t="s">
        <v>1419</v>
      </c>
      <c r="E85" t="s">
        <v>1420</v>
      </c>
      <c r="G85" t="s">
        <v>26</v>
      </c>
      <c r="H85" t="s">
        <v>1421</v>
      </c>
      <c r="J85" t="s">
        <v>464</v>
      </c>
    </row>
    <row r="86" spans="1:10">
      <c r="E86" t="s">
        <v>1422</v>
      </c>
    </row>
    <row r="87" spans="1:10">
      <c r="E87" t="s">
        <v>1423</v>
      </c>
    </row>
    <row r="88" spans="1:10">
      <c r="A88" t="s">
        <v>1424</v>
      </c>
      <c r="B88" t="s">
        <v>433</v>
      </c>
      <c r="C88" t="s">
        <v>211</v>
      </c>
      <c r="D88" t="s">
        <v>1425</v>
      </c>
      <c r="E88" t="s">
        <v>1398</v>
      </c>
      <c r="G88" t="s">
        <v>521</v>
      </c>
      <c r="H88" t="s">
        <v>1426</v>
      </c>
      <c r="J88" t="s">
        <v>27</v>
      </c>
    </row>
    <row r="89" spans="1:10">
      <c r="E89" t="s">
        <v>1427</v>
      </c>
    </row>
    <row r="90" spans="1:10">
      <c r="E90" t="s">
        <v>1428</v>
      </c>
    </row>
    <row r="91" spans="1:10">
      <c r="E91" t="s">
        <v>1429</v>
      </c>
    </row>
    <row r="92" spans="1:10">
      <c r="A92" t="s">
        <v>1430</v>
      </c>
      <c r="B92" t="s">
        <v>433</v>
      </c>
      <c r="C92" t="s">
        <v>211</v>
      </c>
      <c r="D92" t="s">
        <v>1431</v>
      </c>
      <c r="E92" t="s">
        <v>1398</v>
      </c>
      <c r="G92" t="s">
        <v>521</v>
      </c>
      <c r="H92" t="s">
        <v>1432</v>
      </c>
      <c r="J92" t="s">
        <v>27</v>
      </c>
    </row>
    <row r="93" spans="1:10">
      <c r="E93" t="s">
        <v>1433</v>
      </c>
    </row>
    <row r="94" spans="1:10">
      <c r="E94" t="s">
        <v>1428</v>
      </c>
    </row>
    <row r="95" spans="1:10">
      <c r="E95" t="s">
        <v>1429</v>
      </c>
    </row>
    <row r="96" spans="1:10">
      <c r="A96" t="s">
        <v>1434</v>
      </c>
      <c r="B96" t="s">
        <v>433</v>
      </c>
      <c r="C96" t="s">
        <v>211</v>
      </c>
      <c r="D96" t="s">
        <v>1435</v>
      </c>
      <c r="E96" t="s">
        <v>1436</v>
      </c>
      <c r="F96" t="s">
        <v>1437</v>
      </c>
      <c r="G96" t="s">
        <v>521</v>
      </c>
      <c r="H96" t="s">
        <v>1438</v>
      </c>
      <c r="J96" t="s">
        <v>27</v>
      </c>
    </row>
    <row r="97" spans="1:10">
      <c r="E97" t="s">
        <v>1439</v>
      </c>
    </row>
    <row r="98" spans="1:10">
      <c r="E98" t="s">
        <v>1429</v>
      </c>
    </row>
    <row r="99" spans="1:10">
      <c r="A99" t="s">
        <v>1440</v>
      </c>
      <c r="B99" t="s">
        <v>433</v>
      </c>
      <c r="C99" t="s">
        <v>211</v>
      </c>
      <c r="D99" t="s">
        <v>1441</v>
      </c>
      <c r="E99" t="s">
        <v>1398</v>
      </c>
      <c r="F99" t="s">
        <v>1442</v>
      </c>
      <c r="G99" t="s">
        <v>26</v>
      </c>
      <c r="H99" t="s">
        <v>1443</v>
      </c>
      <c r="J99" t="s">
        <v>464</v>
      </c>
    </row>
    <row r="100" spans="1:10">
      <c r="E100" t="s">
        <v>1444</v>
      </c>
    </row>
    <row r="101" spans="1:10">
      <c r="E101" t="s">
        <v>1445</v>
      </c>
    </row>
    <row r="102" spans="1:10">
      <c r="A102" t="s">
        <v>1446</v>
      </c>
      <c r="B102" t="s">
        <v>433</v>
      </c>
      <c r="C102" t="s">
        <v>211</v>
      </c>
      <c r="D102" t="s">
        <v>1447</v>
      </c>
      <c r="E102" t="s">
        <v>1448</v>
      </c>
      <c r="G102" t="s">
        <v>26</v>
      </c>
      <c r="H102" t="s">
        <v>1449</v>
      </c>
      <c r="J102" t="s">
        <v>42</v>
      </c>
    </row>
    <row r="103" spans="1:10">
      <c r="E103" t="s">
        <v>1450</v>
      </c>
    </row>
    <row r="104" spans="1:10">
      <c r="A104" t="s">
        <v>1451</v>
      </c>
      <c r="B104" t="s">
        <v>433</v>
      </c>
      <c r="C104" t="s">
        <v>211</v>
      </c>
      <c r="D104" t="s">
        <v>1452</v>
      </c>
      <c r="E104" t="s">
        <v>1398</v>
      </c>
      <c r="F104" t="s">
        <v>1453</v>
      </c>
      <c r="G104" t="s">
        <v>521</v>
      </c>
      <c r="H104" t="s">
        <v>1454</v>
      </c>
      <c r="J104" t="s">
        <v>27</v>
      </c>
    </row>
    <row r="105" spans="1:10">
      <c r="E105" t="s">
        <v>1455</v>
      </c>
    </row>
    <row r="106" spans="1:10">
      <c r="E106" t="s">
        <v>1429</v>
      </c>
    </row>
    <row r="107" spans="1:10">
      <c r="A107" t="s">
        <v>1456</v>
      </c>
      <c r="B107" t="s">
        <v>433</v>
      </c>
      <c r="C107" t="s">
        <v>211</v>
      </c>
      <c r="D107" t="s">
        <v>1457</v>
      </c>
      <c r="E107" t="s">
        <v>1458</v>
      </c>
      <c r="F107" t="s">
        <v>1459</v>
      </c>
      <c r="G107" t="s">
        <v>521</v>
      </c>
      <c r="H107" t="s">
        <v>1460</v>
      </c>
      <c r="J107" t="s">
        <v>42</v>
      </c>
    </row>
    <row r="108" spans="1:10">
      <c r="E108" t="s">
        <v>1461</v>
      </c>
    </row>
    <row r="109" spans="1:10">
      <c r="E109" t="s">
        <v>1462</v>
      </c>
    </row>
    <row r="110" spans="1:10">
      <c r="A110" t="s">
        <v>1463</v>
      </c>
      <c r="B110" t="s">
        <v>433</v>
      </c>
      <c r="C110" t="s">
        <v>211</v>
      </c>
      <c r="D110" t="s">
        <v>1464</v>
      </c>
      <c r="E110" t="s">
        <v>1465</v>
      </c>
      <c r="G110" t="s">
        <v>26</v>
      </c>
      <c r="H110" t="s">
        <v>1466</v>
      </c>
      <c r="J110" t="s">
        <v>27</v>
      </c>
    </row>
    <row r="111" spans="1:10">
      <c r="E111" t="s">
        <v>1467</v>
      </c>
    </row>
    <row r="112" spans="1:10">
      <c r="E112" t="s">
        <v>1468</v>
      </c>
    </row>
    <row r="113" spans="1:10">
      <c r="A113" t="s">
        <v>1469</v>
      </c>
      <c r="B113" t="s">
        <v>433</v>
      </c>
      <c r="C113" t="s">
        <v>211</v>
      </c>
      <c r="D113" t="s">
        <v>1470</v>
      </c>
      <c r="E113" t="s">
        <v>1465</v>
      </c>
      <c r="G113" t="s">
        <v>521</v>
      </c>
      <c r="H113" t="s">
        <v>1471</v>
      </c>
      <c r="J113" t="s">
        <v>42</v>
      </c>
    </row>
    <row r="114" spans="1:10">
      <c r="E114" t="s">
        <v>1472</v>
      </c>
    </row>
    <row r="115" spans="1:10">
      <c r="E115" t="s">
        <v>1473</v>
      </c>
    </row>
    <row r="116" spans="1:10">
      <c r="A116" t="s">
        <v>1474</v>
      </c>
      <c r="B116" t="s">
        <v>433</v>
      </c>
      <c r="C116" t="s">
        <v>211</v>
      </c>
      <c r="D116" t="s">
        <v>1475</v>
      </c>
      <c r="E116" t="s">
        <v>1476</v>
      </c>
      <c r="G116" t="s">
        <v>26</v>
      </c>
      <c r="H116" t="s">
        <v>1477</v>
      </c>
      <c r="J116" t="s">
        <v>42</v>
      </c>
    </row>
    <row r="117" spans="1:10">
      <c r="E117" t="s">
        <v>1478</v>
      </c>
    </row>
    <row r="118" spans="1:10">
      <c r="A118" t="s">
        <v>1479</v>
      </c>
      <c r="B118" t="s">
        <v>433</v>
      </c>
      <c r="C118" t="s">
        <v>211</v>
      </c>
      <c r="D118" t="s">
        <v>1480</v>
      </c>
      <c r="E118" t="s">
        <v>1481</v>
      </c>
      <c r="F118" t="s">
        <v>1482</v>
      </c>
      <c r="G118" t="s">
        <v>26</v>
      </c>
      <c r="H118" t="s">
        <v>1483</v>
      </c>
      <c r="J118" t="s">
        <v>464</v>
      </c>
    </row>
    <row r="119" spans="1:10">
      <c r="E119" t="s">
        <v>1484</v>
      </c>
    </row>
    <row r="120" spans="1:10">
      <c r="E120" t="s">
        <v>1485</v>
      </c>
    </row>
    <row r="121" spans="1:10">
      <c r="E121" t="s">
        <v>1486</v>
      </c>
    </row>
    <row r="122" spans="1:10">
      <c r="A122" t="s">
        <v>1487</v>
      </c>
      <c r="B122" t="s">
        <v>433</v>
      </c>
      <c r="C122" t="s">
        <v>211</v>
      </c>
      <c r="D122" t="s">
        <v>1488</v>
      </c>
      <c r="E122" t="s">
        <v>1489</v>
      </c>
      <c r="G122" t="s">
        <v>26</v>
      </c>
      <c r="H122" t="s">
        <v>1490</v>
      </c>
      <c r="J122" t="s">
        <v>42</v>
      </c>
    </row>
    <row r="123" spans="1:10">
      <c r="E123" t="s">
        <v>1491</v>
      </c>
    </row>
    <row r="124" spans="1:10">
      <c r="A124" t="s">
        <v>1492</v>
      </c>
      <c r="B124" t="s">
        <v>433</v>
      </c>
      <c r="C124" t="s">
        <v>211</v>
      </c>
      <c r="D124" t="s">
        <v>1493</v>
      </c>
      <c r="E124" t="s">
        <v>1494</v>
      </c>
      <c r="F124" t="s">
        <v>1495</v>
      </c>
      <c r="G124" t="s">
        <v>521</v>
      </c>
      <c r="H124" t="s">
        <v>1496</v>
      </c>
      <c r="J124" t="s">
        <v>42</v>
      </c>
    </row>
    <row r="125" spans="1:10">
      <c r="E125" t="s">
        <v>1497</v>
      </c>
    </row>
    <row r="126" spans="1:10">
      <c r="E126" t="s">
        <v>1429</v>
      </c>
    </row>
    <row r="127" spans="1:10">
      <c r="A127" t="s">
        <v>1498</v>
      </c>
      <c r="B127" t="s">
        <v>433</v>
      </c>
      <c r="C127" t="s">
        <v>211</v>
      </c>
      <c r="D127" t="s">
        <v>1499</v>
      </c>
      <c r="E127" t="s">
        <v>1500</v>
      </c>
      <c r="G127" t="s">
        <v>26</v>
      </c>
      <c r="H127" t="s">
        <v>1501</v>
      </c>
      <c r="J127" t="s">
        <v>42</v>
      </c>
    </row>
    <row r="128" spans="1:10">
      <c r="E128" t="s">
        <v>1502</v>
      </c>
    </row>
    <row r="129" spans="1:15">
      <c r="E129" t="s">
        <v>1503</v>
      </c>
    </row>
    <row r="130" spans="1:15">
      <c r="E130" t="s">
        <v>1504</v>
      </c>
    </row>
    <row r="131" spans="1:15">
      <c r="A131" t="s">
        <v>1505</v>
      </c>
      <c r="B131" t="s">
        <v>433</v>
      </c>
      <c r="C131" t="s">
        <v>211</v>
      </c>
      <c r="D131" t="s">
        <v>1506</v>
      </c>
      <c r="E131" t="s">
        <v>1507</v>
      </c>
      <c r="G131" t="s">
        <v>26</v>
      </c>
      <c r="H131" t="s">
        <v>1508</v>
      </c>
      <c r="J131" t="s">
        <v>464</v>
      </c>
    </row>
    <row r="132" spans="1:15">
      <c r="E132" t="s">
        <v>1509</v>
      </c>
    </row>
    <row r="133" spans="1:15">
      <c r="E133" t="s">
        <v>1510</v>
      </c>
    </row>
    <row r="134" spans="1:15">
      <c r="E134" t="s">
        <v>1511</v>
      </c>
    </row>
    <row r="135" spans="1:15">
      <c r="A135" t="s">
        <v>1512</v>
      </c>
      <c r="B135" t="s">
        <v>433</v>
      </c>
      <c r="C135" t="s">
        <v>211</v>
      </c>
      <c r="D135" t="s">
        <v>1513</v>
      </c>
      <c r="E135" t="s">
        <v>1514</v>
      </c>
      <c r="G135" t="s">
        <v>26</v>
      </c>
      <c r="H135" t="s">
        <v>1515</v>
      </c>
      <c r="J135" t="s">
        <v>464</v>
      </c>
    </row>
    <row r="136" spans="1:15">
      <c r="E136" t="s">
        <v>1516</v>
      </c>
    </row>
    <row r="137" spans="1:15">
      <c r="E137" t="s">
        <v>1517</v>
      </c>
    </row>
    <row r="138" spans="1:15">
      <c r="A138" t="s">
        <v>1518</v>
      </c>
      <c r="B138" t="s">
        <v>433</v>
      </c>
      <c r="C138" t="s">
        <v>211</v>
      </c>
      <c r="D138" t="s">
        <v>1519</v>
      </c>
      <c r="E138" t="s">
        <v>1520</v>
      </c>
      <c r="G138" t="s">
        <v>26</v>
      </c>
      <c r="H138" t="s">
        <v>1521</v>
      </c>
      <c r="J138" t="s">
        <v>42</v>
      </c>
    </row>
    <row r="139" spans="1:15">
      <c r="E139" t="s">
        <v>1522</v>
      </c>
    </row>
    <row r="140" spans="1:15">
      <c r="A140" t="s">
        <v>1523</v>
      </c>
      <c r="B140" t="s">
        <v>433</v>
      </c>
      <c r="C140" t="s">
        <v>211</v>
      </c>
      <c r="D140" t="s">
        <v>1524</v>
      </c>
      <c r="E140" t="s">
        <v>1525</v>
      </c>
      <c r="G140" t="s">
        <v>26</v>
      </c>
      <c r="H140" t="s">
        <v>1526</v>
      </c>
      <c r="J140" t="s">
        <v>42</v>
      </c>
    </row>
    <row r="141" spans="1:15">
      <c r="E141" t="s">
        <v>1527</v>
      </c>
    </row>
    <row r="142" spans="1:15">
      <c r="E142" t="s">
        <v>1528</v>
      </c>
    </row>
    <row r="143" spans="1:15">
      <c r="E143" t="s">
        <v>1529</v>
      </c>
    </row>
    <row r="144" spans="1:15">
      <c r="A144" t="s">
        <v>1530</v>
      </c>
      <c r="B144" t="s">
        <v>433</v>
      </c>
      <c r="C144" t="s">
        <v>211</v>
      </c>
      <c r="D144" t="s">
        <v>1531</v>
      </c>
      <c r="E144" t="s">
        <v>1532</v>
      </c>
      <c r="G144" t="s">
        <v>26</v>
      </c>
      <c r="H144" t="s">
        <v>1533</v>
      </c>
      <c r="I144" t="s">
        <v>1534</v>
      </c>
      <c r="J144" t="s">
        <v>27</v>
      </c>
      <c r="K144" t="s">
        <v>1535</v>
      </c>
      <c r="L144" t="s">
        <v>1386</v>
      </c>
      <c r="M144" t="s">
        <v>1535</v>
      </c>
      <c r="N144" t="s">
        <v>1535</v>
      </c>
      <c r="O144" t="s">
        <v>1536</v>
      </c>
    </row>
    <row r="145" spans="1:10">
      <c r="E145" t="s">
        <v>1429</v>
      </c>
    </row>
    <row r="146" spans="1:10">
      <c r="E146" t="s">
        <v>1537</v>
      </c>
    </row>
    <row r="147" spans="1:10">
      <c r="E147" t="s">
        <v>1538</v>
      </c>
    </row>
    <row r="148" spans="1:10">
      <c r="A148" t="s">
        <v>1539</v>
      </c>
      <c r="B148" t="s">
        <v>433</v>
      </c>
      <c r="C148" t="s">
        <v>211</v>
      </c>
      <c r="D148" t="s">
        <v>1540</v>
      </c>
      <c r="E148" t="s">
        <v>1541</v>
      </c>
      <c r="G148" t="s">
        <v>26</v>
      </c>
      <c r="H148" t="s">
        <v>1542</v>
      </c>
      <c r="J148" t="s">
        <v>42</v>
      </c>
    </row>
    <row r="149" spans="1:10">
      <c r="E149" t="s">
        <v>1543</v>
      </c>
    </row>
    <row r="150" spans="1:10">
      <c r="A150" t="s">
        <v>1544</v>
      </c>
      <c r="B150" t="s">
        <v>433</v>
      </c>
      <c r="C150" t="s">
        <v>211</v>
      </c>
      <c r="D150" t="s">
        <v>1545</v>
      </c>
      <c r="E150" t="s">
        <v>1398</v>
      </c>
      <c r="F150" t="s">
        <v>1546</v>
      </c>
      <c r="G150" t="s">
        <v>75</v>
      </c>
      <c r="H150" t="s">
        <v>1547</v>
      </c>
      <c r="J150" t="s">
        <v>27</v>
      </c>
    </row>
    <row r="151" spans="1:10">
      <c r="E151" t="s">
        <v>1548</v>
      </c>
    </row>
    <row r="152" spans="1:10">
      <c r="E152" t="s">
        <v>1549</v>
      </c>
    </row>
  </sheetData>
  <pageMargins left="0.75" right="0.75" top="1" bottom="1" header="0.5" footer="0.5"/>
  <headerFooter/>
  <ignoredErrors>
    <ignoredError sqref="A1:O68 A69:E69 G69:O69 A70:O152" numberStoredAsText="1"/>
  </ignoredError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68"/>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1551</v>
      </c>
      <c r="B2" t="s">
        <v>433</v>
      </c>
      <c r="C2" t="s">
        <v>93</v>
      </c>
      <c r="D2" t="s">
        <v>1552</v>
      </c>
      <c r="E2" t="s">
        <v>1553</v>
      </c>
      <c r="G2" t="s">
        <v>26</v>
      </c>
      <c r="H2" t="s">
        <v>1554</v>
      </c>
      <c r="J2" t="s">
        <v>27</v>
      </c>
    </row>
    <row r="3" spans="1:12">
      <c r="E3" t="s">
        <v>1555</v>
      </c>
    </row>
    <row r="4" spans="1:12">
      <c r="E4" t="s">
        <v>1556</v>
      </c>
    </row>
    <row r="5" spans="1:12">
      <c r="E5" t="s">
        <v>1557</v>
      </c>
    </row>
    <row r="6" spans="1:12">
      <c r="E6" t="s">
        <v>1558</v>
      </c>
    </row>
    <row r="7" spans="1:12">
      <c r="A7" t="s">
        <v>1559</v>
      </c>
      <c r="B7" t="s">
        <v>433</v>
      </c>
      <c r="C7" t="s">
        <v>93</v>
      </c>
      <c r="D7" t="s">
        <v>1560</v>
      </c>
      <c r="E7" t="s">
        <v>1561</v>
      </c>
      <c r="G7" t="s">
        <v>26</v>
      </c>
      <c r="H7" t="s">
        <v>1562</v>
      </c>
      <c r="J7" t="s">
        <v>27</v>
      </c>
    </row>
    <row r="8" spans="1:12">
      <c r="E8" t="s">
        <v>1563</v>
      </c>
    </row>
    <row r="9" spans="1:12">
      <c r="E9" t="s">
        <v>1564</v>
      </c>
    </row>
    <row r="10" spans="1:12">
      <c r="E10" t="s">
        <v>1557</v>
      </c>
    </row>
    <row r="11" spans="1:12">
      <c r="E11" t="s">
        <v>1565</v>
      </c>
    </row>
    <row r="12" spans="1:12">
      <c r="E12" t="s">
        <v>1566</v>
      </c>
    </row>
    <row r="13" spans="1:12">
      <c r="A13" t="s">
        <v>1567</v>
      </c>
      <c r="B13" t="s">
        <v>433</v>
      </c>
      <c r="C13" t="s">
        <v>93</v>
      </c>
      <c r="D13" t="s">
        <v>1568</v>
      </c>
      <c r="E13" t="s">
        <v>1569</v>
      </c>
      <c r="G13" t="s">
        <v>26</v>
      </c>
      <c r="H13" t="s">
        <v>1570</v>
      </c>
      <c r="J13" t="s">
        <v>27</v>
      </c>
    </row>
    <row r="14" spans="1:12">
      <c r="E14" t="s">
        <v>1555</v>
      </c>
    </row>
    <row r="15" spans="1:12">
      <c r="E15" t="s">
        <v>1571</v>
      </c>
    </row>
    <row r="16" spans="1:12">
      <c r="E16" t="s">
        <v>1557</v>
      </c>
    </row>
    <row r="17" spans="1:10">
      <c r="E17" t="s">
        <v>1572</v>
      </c>
    </row>
    <row r="18" spans="1:10">
      <c r="E18" t="s">
        <v>1573</v>
      </c>
    </row>
    <row r="19" spans="1:10">
      <c r="A19" t="s">
        <v>1574</v>
      </c>
      <c r="B19" t="s">
        <v>433</v>
      </c>
      <c r="C19" t="s">
        <v>93</v>
      </c>
      <c r="D19" t="s">
        <v>1575</v>
      </c>
      <c r="E19" t="s">
        <v>1576</v>
      </c>
      <c r="G19" t="s">
        <v>26</v>
      </c>
      <c r="H19" t="s">
        <v>1577</v>
      </c>
      <c r="J19" t="s">
        <v>27</v>
      </c>
    </row>
    <row r="20" spans="1:10">
      <c r="E20" t="s">
        <v>1578</v>
      </c>
    </row>
    <row r="21" spans="1:10">
      <c r="E21" t="s">
        <v>1579</v>
      </c>
    </row>
    <row r="22" spans="1:10">
      <c r="E22" t="s">
        <v>1580</v>
      </c>
    </row>
    <row r="23" spans="1:10">
      <c r="E23" t="s">
        <v>1581</v>
      </c>
    </row>
    <row r="24" spans="1:10">
      <c r="A24" t="s">
        <v>1582</v>
      </c>
      <c r="B24" t="s">
        <v>433</v>
      </c>
      <c r="C24" t="s">
        <v>93</v>
      </c>
      <c r="D24" t="s">
        <v>1583</v>
      </c>
      <c r="E24" t="s">
        <v>1584</v>
      </c>
      <c r="F24" t="s">
        <v>1585</v>
      </c>
      <c r="G24" t="s">
        <v>521</v>
      </c>
      <c r="H24" t="s">
        <v>1586</v>
      </c>
      <c r="J24" t="s">
        <v>27</v>
      </c>
    </row>
    <row r="25" spans="1:10">
      <c r="E25" t="s">
        <v>1587</v>
      </c>
    </row>
    <row r="26" spans="1:10">
      <c r="E26" t="s">
        <v>818</v>
      </c>
    </row>
    <row r="27" spans="1:10">
      <c r="E27" t="s">
        <v>1588</v>
      </c>
    </row>
    <row r="28" spans="1:10">
      <c r="E28" t="s">
        <v>1589</v>
      </c>
    </row>
    <row r="29" spans="1:10">
      <c r="A29" t="s">
        <v>1590</v>
      </c>
      <c r="B29" t="s">
        <v>433</v>
      </c>
      <c r="C29" t="s">
        <v>93</v>
      </c>
      <c r="D29" t="s">
        <v>1591</v>
      </c>
      <c r="E29" t="s">
        <v>1592</v>
      </c>
      <c r="F29" t="s">
        <v>1593</v>
      </c>
      <c r="G29" t="s">
        <v>521</v>
      </c>
      <c r="H29" t="s">
        <v>1594</v>
      </c>
      <c r="J29" t="s">
        <v>27</v>
      </c>
    </row>
    <row r="30" spans="1:10">
      <c r="E30" t="s">
        <v>1595</v>
      </c>
    </row>
    <row r="31" spans="1:10">
      <c r="E31" t="s">
        <v>818</v>
      </c>
    </row>
    <row r="32" spans="1:10">
      <c r="E32" t="s">
        <v>1596</v>
      </c>
    </row>
    <row r="33" spans="1:10">
      <c r="E33" t="s">
        <v>1597</v>
      </c>
    </row>
    <row r="34" spans="1:10">
      <c r="A34" t="s">
        <v>1598</v>
      </c>
      <c r="B34" t="s">
        <v>433</v>
      </c>
      <c r="C34" t="s">
        <v>93</v>
      </c>
      <c r="D34" t="s">
        <v>1599</v>
      </c>
      <c r="E34" t="s">
        <v>1600</v>
      </c>
      <c r="F34" t="s">
        <v>1601</v>
      </c>
      <c r="G34" t="s">
        <v>521</v>
      </c>
      <c r="H34" t="s">
        <v>1602</v>
      </c>
      <c r="J34" t="s">
        <v>42</v>
      </c>
    </row>
    <row r="35" spans="1:10">
      <c r="E35" t="s">
        <v>1603</v>
      </c>
    </row>
    <row r="36" spans="1:10">
      <c r="E36" t="s">
        <v>1604</v>
      </c>
    </row>
    <row r="37" spans="1:10">
      <c r="E37" t="s">
        <v>1605</v>
      </c>
    </row>
    <row r="38" spans="1:10">
      <c r="A38" t="s">
        <v>1606</v>
      </c>
      <c r="B38" t="s">
        <v>433</v>
      </c>
      <c r="C38" t="s">
        <v>93</v>
      </c>
      <c r="D38" t="s">
        <v>1607</v>
      </c>
      <c r="E38" t="s">
        <v>1608</v>
      </c>
      <c r="G38" t="s">
        <v>521</v>
      </c>
      <c r="H38" t="s">
        <v>1609</v>
      </c>
      <c r="J38" t="s">
        <v>42</v>
      </c>
    </row>
    <row r="39" spans="1:10">
      <c r="E39" t="s">
        <v>1610</v>
      </c>
    </row>
    <row r="40" spans="1:10">
      <c r="E40" t="s">
        <v>1611</v>
      </c>
    </row>
    <row r="41" spans="1:10">
      <c r="E41" t="s">
        <v>1612</v>
      </c>
    </row>
    <row r="42" spans="1:10">
      <c r="E42" t="s">
        <v>1613</v>
      </c>
    </row>
    <row r="43" spans="1:10">
      <c r="A43" t="s">
        <v>1614</v>
      </c>
      <c r="B43" t="s">
        <v>433</v>
      </c>
      <c r="C43" t="s">
        <v>93</v>
      </c>
      <c r="D43" t="s">
        <v>1615</v>
      </c>
      <c r="E43" t="s">
        <v>1616</v>
      </c>
      <c r="G43" t="s">
        <v>521</v>
      </c>
      <c r="H43" t="s">
        <v>1617</v>
      </c>
      <c r="J43" t="s">
        <v>42</v>
      </c>
    </row>
    <row r="44" spans="1:10">
      <c r="E44" t="s">
        <v>1618</v>
      </c>
    </row>
    <row r="45" spans="1:10">
      <c r="E45" t="s">
        <v>1619</v>
      </c>
    </row>
    <row r="46" spans="1:10">
      <c r="E46" t="s">
        <v>1620</v>
      </c>
    </row>
    <row r="47" spans="1:10">
      <c r="E47" t="s">
        <v>1621</v>
      </c>
    </row>
    <row r="48" spans="1:10">
      <c r="A48" t="s">
        <v>1622</v>
      </c>
      <c r="B48" t="s">
        <v>433</v>
      </c>
      <c r="C48" t="s">
        <v>93</v>
      </c>
      <c r="D48" t="s">
        <v>1623</v>
      </c>
      <c r="E48" t="s">
        <v>1624</v>
      </c>
      <c r="G48" t="s">
        <v>26</v>
      </c>
      <c r="H48" t="s">
        <v>1625</v>
      </c>
      <c r="J48" t="s">
        <v>42</v>
      </c>
    </row>
    <row r="49" spans="1:10">
      <c r="E49" t="s">
        <v>1626</v>
      </c>
    </row>
    <row r="50" spans="1:10">
      <c r="E50" t="s">
        <v>1627</v>
      </c>
    </row>
    <row r="51" spans="1:10">
      <c r="E51" t="s">
        <v>1628</v>
      </c>
    </row>
    <row r="52" spans="1:10">
      <c r="E52" t="s">
        <v>1629</v>
      </c>
    </row>
    <row r="53" spans="1:10">
      <c r="A53" t="s">
        <v>1630</v>
      </c>
      <c r="B53" t="s">
        <v>433</v>
      </c>
      <c r="C53" t="s">
        <v>93</v>
      </c>
      <c r="D53" t="s">
        <v>1631</v>
      </c>
      <c r="E53" t="s">
        <v>1632</v>
      </c>
      <c r="G53" t="s">
        <v>521</v>
      </c>
      <c r="H53" t="s">
        <v>1633</v>
      </c>
      <c r="J53" t="s">
        <v>42</v>
      </c>
    </row>
    <row r="54" spans="1:10">
      <c r="E54" t="s">
        <v>1634</v>
      </c>
    </row>
    <row r="55" spans="1:10">
      <c r="E55" t="s">
        <v>1635</v>
      </c>
    </row>
    <row r="56" spans="1:10">
      <c r="E56" t="s">
        <v>1636</v>
      </c>
    </row>
    <row r="57" spans="1:10">
      <c r="E57" t="s">
        <v>1637</v>
      </c>
    </row>
    <row r="58" spans="1:10">
      <c r="A58" t="s">
        <v>1638</v>
      </c>
      <c r="B58" t="s">
        <v>433</v>
      </c>
      <c r="C58" t="s">
        <v>93</v>
      </c>
      <c r="D58" t="s">
        <v>1639</v>
      </c>
      <c r="E58" t="s">
        <v>1640</v>
      </c>
      <c r="G58" t="s">
        <v>26</v>
      </c>
      <c r="H58" t="s">
        <v>1641</v>
      </c>
      <c r="J58" t="s">
        <v>464</v>
      </c>
    </row>
    <row r="59" spans="1:10">
      <c r="E59" t="s">
        <v>1642</v>
      </c>
    </row>
    <row r="60" spans="1:10">
      <c r="E60" t="s">
        <v>1643</v>
      </c>
    </row>
    <row r="61" spans="1:10">
      <c r="E61" t="s">
        <v>1644</v>
      </c>
    </row>
    <row r="62" spans="1:10">
      <c r="A62" t="s">
        <v>1645</v>
      </c>
      <c r="B62" t="s">
        <v>433</v>
      </c>
      <c r="C62" t="s">
        <v>96</v>
      </c>
      <c r="D62" t="s">
        <v>1646</v>
      </c>
      <c r="E62" t="s">
        <v>1647</v>
      </c>
      <c r="G62" t="s">
        <v>26</v>
      </c>
      <c r="H62" t="s">
        <v>1648</v>
      </c>
      <c r="J62" t="s">
        <v>27</v>
      </c>
    </row>
    <row r="63" spans="1:10">
      <c r="E63" t="s">
        <v>1649</v>
      </c>
    </row>
    <row r="64" spans="1:10">
      <c r="E64" t="s">
        <v>1650</v>
      </c>
    </row>
    <row r="65" spans="1:10">
      <c r="E65" t="s">
        <v>1651</v>
      </c>
    </row>
    <row r="66" spans="1:10">
      <c r="A66" t="s">
        <v>1652</v>
      </c>
      <c r="B66" t="s">
        <v>433</v>
      </c>
      <c r="C66" t="s">
        <v>96</v>
      </c>
      <c r="D66" t="s">
        <v>1653</v>
      </c>
      <c r="E66" t="s">
        <v>1654</v>
      </c>
      <c r="G66" t="s">
        <v>26</v>
      </c>
      <c r="H66" t="s">
        <v>1655</v>
      </c>
      <c r="J66" t="s">
        <v>27</v>
      </c>
    </row>
    <row r="67" spans="1:10">
      <c r="E67" t="s">
        <v>1656</v>
      </c>
    </row>
    <row r="68" spans="1:10">
      <c r="E68" t="s">
        <v>1657</v>
      </c>
    </row>
    <row r="69" spans="1:10">
      <c r="E69" t="s">
        <v>1658</v>
      </c>
    </row>
    <row r="70" spans="1:10">
      <c r="E70" t="s">
        <v>1659</v>
      </c>
    </row>
    <row r="71" spans="1:10">
      <c r="A71" t="s">
        <v>1660</v>
      </c>
      <c r="B71" t="s">
        <v>433</v>
      </c>
      <c r="C71" t="s">
        <v>96</v>
      </c>
      <c r="D71" t="s">
        <v>1661</v>
      </c>
      <c r="E71" t="s">
        <v>1662</v>
      </c>
      <c r="G71" t="s">
        <v>26</v>
      </c>
      <c r="H71" t="s">
        <v>1663</v>
      </c>
      <c r="J71" t="s">
        <v>27</v>
      </c>
    </row>
    <row r="72" spans="1:10">
      <c r="E72" t="s">
        <v>1664</v>
      </c>
    </row>
    <row r="73" spans="1:10">
      <c r="E73" t="s">
        <v>1665</v>
      </c>
    </row>
    <row r="74" spans="1:10">
      <c r="E74" t="s">
        <v>1666</v>
      </c>
    </row>
    <row r="75" spans="1:10">
      <c r="A75" t="s">
        <v>1667</v>
      </c>
      <c r="B75" t="s">
        <v>433</v>
      </c>
      <c r="C75" t="s">
        <v>96</v>
      </c>
      <c r="D75" t="s">
        <v>1668</v>
      </c>
      <c r="E75" t="s">
        <v>1669</v>
      </c>
      <c r="F75" t="s">
        <v>1670</v>
      </c>
      <c r="G75" t="s">
        <v>26</v>
      </c>
      <c r="H75" t="s">
        <v>1671</v>
      </c>
      <c r="J75" t="s">
        <v>27</v>
      </c>
    </row>
    <row r="76" spans="1:10">
      <c r="E76" t="s">
        <v>1672</v>
      </c>
    </row>
    <row r="77" spans="1:10">
      <c r="E77" t="s">
        <v>1673</v>
      </c>
    </row>
    <row r="78" spans="1:10">
      <c r="E78" t="s">
        <v>1674</v>
      </c>
    </row>
    <row r="79" spans="1:10">
      <c r="A79" t="s">
        <v>1675</v>
      </c>
      <c r="B79" t="s">
        <v>433</v>
      </c>
      <c r="C79" t="s">
        <v>96</v>
      </c>
      <c r="D79" t="s">
        <v>1676</v>
      </c>
      <c r="E79" t="s">
        <v>1677</v>
      </c>
      <c r="G79" t="s">
        <v>26</v>
      </c>
      <c r="H79" t="s">
        <v>1678</v>
      </c>
      <c r="J79" t="s">
        <v>464</v>
      </c>
    </row>
    <row r="80" spans="1:10">
      <c r="E80" t="s">
        <v>1679</v>
      </c>
    </row>
    <row r="81" spans="1:10">
      <c r="E81" t="s">
        <v>1680</v>
      </c>
    </row>
    <row r="82" spans="1:10">
      <c r="A82" t="s">
        <v>1681</v>
      </c>
      <c r="B82" t="s">
        <v>433</v>
      </c>
      <c r="C82" t="s">
        <v>99</v>
      </c>
      <c r="D82" t="s">
        <v>1682</v>
      </c>
      <c r="E82" t="s">
        <v>1683</v>
      </c>
      <c r="F82" t="s">
        <v>1684</v>
      </c>
      <c r="G82" t="s">
        <v>26</v>
      </c>
      <c r="H82" t="s">
        <v>1685</v>
      </c>
      <c r="J82" t="s">
        <v>27</v>
      </c>
    </row>
    <row r="83" spans="1:10">
      <c r="E83" t="s">
        <v>1686</v>
      </c>
    </row>
    <row r="84" spans="1:10">
      <c r="E84" t="s">
        <v>1687</v>
      </c>
    </row>
    <row r="85" spans="1:10">
      <c r="E85" t="s">
        <v>1688</v>
      </c>
    </row>
    <row r="86" spans="1:10">
      <c r="A86" t="s">
        <v>1689</v>
      </c>
      <c r="B86" t="s">
        <v>433</v>
      </c>
      <c r="C86" t="s">
        <v>99</v>
      </c>
      <c r="D86" t="s">
        <v>1690</v>
      </c>
      <c r="E86" t="s">
        <v>1691</v>
      </c>
      <c r="G86" t="s">
        <v>26</v>
      </c>
      <c r="H86" t="s">
        <v>1692</v>
      </c>
      <c r="J86" t="s">
        <v>27</v>
      </c>
    </row>
    <row r="87" spans="1:10">
      <c r="E87" t="s">
        <v>1693</v>
      </c>
    </row>
    <row r="88" spans="1:10">
      <c r="E88" t="s">
        <v>1694</v>
      </c>
    </row>
    <row r="89" spans="1:10">
      <c r="E89" t="s">
        <v>1695</v>
      </c>
    </row>
    <row r="90" spans="1:10">
      <c r="A90" t="s">
        <v>1696</v>
      </c>
      <c r="B90" t="s">
        <v>433</v>
      </c>
      <c r="C90" t="s">
        <v>99</v>
      </c>
      <c r="D90" t="s">
        <v>1697</v>
      </c>
      <c r="E90" t="s">
        <v>1698</v>
      </c>
      <c r="G90" t="s">
        <v>26</v>
      </c>
      <c r="H90" t="s">
        <v>1699</v>
      </c>
      <c r="J90" t="s">
        <v>27</v>
      </c>
    </row>
    <row r="91" spans="1:10">
      <c r="E91" t="s">
        <v>1700</v>
      </c>
    </row>
    <row r="92" spans="1:10">
      <c r="E92" t="s">
        <v>1701</v>
      </c>
    </row>
    <row r="93" spans="1:10">
      <c r="A93" t="s">
        <v>1702</v>
      </c>
      <c r="B93" t="s">
        <v>433</v>
      </c>
      <c r="C93" t="s">
        <v>99</v>
      </c>
      <c r="D93" t="s">
        <v>1703</v>
      </c>
      <c r="E93" t="s">
        <v>1704</v>
      </c>
      <c r="G93" t="s">
        <v>521</v>
      </c>
      <c r="H93" t="s">
        <v>1705</v>
      </c>
      <c r="J93" t="s">
        <v>27</v>
      </c>
    </row>
    <row r="94" spans="1:10">
      <c r="E94" t="s">
        <v>1706</v>
      </c>
    </row>
    <row r="95" spans="1:10">
      <c r="E95" t="s">
        <v>1707</v>
      </c>
    </row>
    <row r="96" spans="1:10">
      <c r="E96" t="s">
        <v>1708</v>
      </c>
    </row>
    <row r="97" spans="1:10">
      <c r="A97" t="s">
        <v>1709</v>
      </c>
      <c r="B97" t="s">
        <v>433</v>
      </c>
      <c r="C97" t="s">
        <v>99</v>
      </c>
      <c r="D97" t="s">
        <v>1710</v>
      </c>
      <c r="E97" t="s">
        <v>1711</v>
      </c>
      <c r="G97" t="s">
        <v>521</v>
      </c>
      <c r="H97" t="s">
        <v>1712</v>
      </c>
      <c r="J97" t="s">
        <v>42</v>
      </c>
    </row>
    <row r="98" spans="1:10">
      <c r="E98" t="s">
        <v>1713</v>
      </c>
    </row>
    <row r="99" spans="1:10">
      <c r="E99" t="s">
        <v>1714</v>
      </c>
    </row>
    <row r="100" spans="1:10">
      <c r="E100" t="s">
        <v>1715</v>
      </c>
    </row>
    <row r="101" spans="1:10">
      <c r="A101" t="s">
        <v>1716</v>
      </c>
      <c r="B101" t="s">
        <v>433</v>
      </c>
      <c r="C101" t="s">
        <v>102</v>
      </c>
      <c r="D101" t="s">
        <v>1717</v>
      </c>
      <c r="E101" t="s">
        <v>1718</v>
      </c>
      <c r="G101" t="s">
        <v>26</v>
      </c>
      <c r="H101" t="s">
        <v>1719</v>
      </c>
      <c r="J101" t="s">
        <v>27</v>
      </c>
    </row>
    <row r="102" spans="1:10">
      <c r="E102" t="s">
        <v>1720</v>
      </c>
    </row>
    <row r="103" spans="1:10">
      <c r="E103" t="s">
        <v>1721</v>
      </c>
    </row>
    <row r="104" spans="1:10">
      <c r="E104" t="s">
        <v>1722</v>
      </c>
    </row>
    <row r="105" spans="1:10">
      <c r="A105" t="s">
        <v>1723</v>
      </c>
      <c r="B105" t="s">
        <v>433</v>
      </c>
      <c r="C105" t="s">
        <v>102</v>
      </c>
      <c r="D105" t="s">
        <v>1724</v>
      </c>
      <c r="E105" t="s">
        <v>1725</v>
      </c>
      <c r="G105" t="s">
        <v>26</v>
      </c>
      <c r="H105" t="s">
        <v>1726</v>
      </c>
      <c r="J105" t="s">
        <v>27</v>
      </c>
    </row>
    <row r="106" spans="1:10">
      <c r="E106" t="s">
        <v>1727</v>
      </c>
    </row>
    <row r="107" spans="1:10">
      <c r="E107" t="s">
        <v>1728</v>
      </c>
    </row>
    <row r="108" spans="1:10">
      <c r="E108" t="s">
        <v>1729</v>
      </c>
    </row>
    <row r="109" spans="1:10">
      <c r="A109" t="s">
        <v>1730</v>
      </c>
      <c r="B109" t="s">
        <v>433</v>
      </c>
      <c r="C109" t="s">
        <v>102</v>
      </c>
      <c r="D109" t="s">
        <v>1731</v>
      </c>
      <c r="E109" t="s">
        <v>1732</v>
      </c>
      <c r="G109" t="s">
        <v>26</v>
      </c>
      <c r="H109" t="s">
        <v>1733</v>
      </c>
      <c r="J109" t="s">
        <v>42</v>
      </c>
    </row>
    <row r="110" spans="1:10">
      <c r="E110" t="s">
        <v>1734</v>
      </c>
    </row>
    <row r="111" spans="1:10">
      <c r="E111" t="s">
        <v>1735</v>
      </c>
    </row>
    <row r="112" spans="1:10">
      <c r="A112" t="s">
        <v>1736</v>
      </c>
      <c r="B112" t="s">
        <v>433</v>
      </c>
      <c r="C112" t="s">
        <v>102</v>
      </c>
      <c r="D112" t="s">
        <v>1737</v>
      </c>
      <c r="E112" t="s">
        <v>1738</v>
      </c>
      <c r="G112" t="s">
        <v>26</v>
      </c>
      <c r="H112" t="s">
        <v>1739</v>
      </c>
      <c r="J112" t="s">
        <v>27</v>
      </c>
    </row>
    <row r="113" spans="1:10">
      <c r="E113" t="s">
        <v>1740</v>
      </c>
    </row>
    <row r="114" spans="1:10">
      <c r="E114" t="s">
        <v>1741</v>
      </c>
    </row>
    <row r="115" spans="1:10">
      <c r="E115" t="s">
        <v>1742</v>
      </c>
    </row>
    <row r="116" spans="1:10">
      <c r="A116" t="s">
        <v>1743</v>
      </c>
      <c r="B116" t="s">
        <v>433</v>
      </c>
      <c r="C116" t="s">
        <v>102</v>
      </c>
      <c r="D116" t="s">
        <v>1744</v>
      </c>
      <c r="E116" t="s">
        <v>1745</v>
      </c>
      <c r="G116" t="s">
        <v>521</v>
      </c>
      <c r="H116" t="s">
        <v>1746</v>
      </c>
      <c r="J116" t="s">
        <v>27</v>
      </c>
    </row>
    <row r="117" spans="1:10">
      <c r="E117" t="s">
        <v>1747</v>
      </c>
    </row>
    <row r="118" spans="1:10">
      <c r="E118" t="s">
        <v>1748</v>
      </c>
    </row>
    <row r="119" spans="1:10">
      <c r="E119" t="s">
        <v>1749</v>
      </c>
    </row>
    <row r="120" spans="1:10">
      <c r="A120" t="s">
        <v>1750</v>
      </c>
      <c r="B120" t="s">
        <v>433</v>
      </c>
      <c r="C120" t="s">
        <v>102</v>
      </c>
      <c r="D120" t="s">
        <v>1751</v>
      </c>
      <c r="E120" t="s">
        <v>1752</v>
      </c>
      <c r="G120" t="s">
        <v>521</v>
      </c>
      <c r="H120" t="s">
        <v>1753</v>
      </c>
      <c r="J120" t="s">
        <v>42</v>
      </c>
    </row>
    <row r="121" spans="1:10">
      <c r="E121" t="s">
        <v>1754</v>
      </c>
    </row>
    <row r="122" spans="1:10">
      <c r="E122" t="s">
        <v>1755</v>
      </c>
    </row>
    <row r="123" spans="1:10">
      <c r="E123" t="s">
        <v>1756</v>
      </c>
    </row>
    <row r="124" spans="1:10">
      <c r="A124" t="s">
        <v>1757</v>
      </c>
      <c r="B124" t="s">
        <v>433</v>
      </c>
      <c r="C124" t="s">
        <v>105</v>
      </c>
      <c r="D124" t="s">
        <v>1758</v>
      </c>
      <c r="E124" t="s">
        <v>1759</v>
      </c>
      <c r="G124" t="s">
        <v>26</v>
      </c>
      <c r="H124" t="s">
        <v>1760</v>
      </c>
      <c r="J124" t="s">
        <v>27</v>
      </c>
    </row>
    <row r="125" spans="1:10">
      <c r="E125" t="s">
        <v>1761</v>
      </c>
    </row>
    <row r="126" spans="1:10">
      <c r="E126" t="s">
        <v>1762</v>
      </c>
    </row>
    <row r="127" spans="1:10">
      <c r="E127" t="s">
        <v>1763</v>
      </c>
    </row>
    <row r="128" spans="1:10">
      <c r="A128" t="s">
        <v>1764</v>
      </c>
      <c r="B128" t="s">
        <v>433</v>
      </c>
      <c r="C128" t="s">
        <v>105</v>
      </c>
      <c r="D128" t="s">
        <v>1765</v>
      </c>
      <c r="E128" t="s">
        <v>1766</v>
      </c>
      <c r="G128" t="s">
        <v>26</v>
      </c>
      <c r="H128" t="s">
        <v>1767</v>
      </c>
      <c r="J128" t="s">
        <v>464</v>
      </c>
    </row>
    <row r="129" spans="1:10">
      <c r="E129" t="s">
        <v>1768</v>
      </c>
    </row>
    <row r="130" spans="1:10">
      <c r="E130" t="s">
        <v>1769</v>
      </c>
    </row>
    <row r="131" spans="1:10">
      <c r="A131" t="s">
        <v>1770</v>
      </c>
      <c r="B131" t="s">
        <v>433</v>
      </c>
      <c r="C131" t="s">
        <v>105</v>
      </c>
      <c r="D131" t="s">
        <v>1771</v>
      </c>
      <c r="E131" t="s">
        <v>1772</v>
      </c>
      <c r="G131" t="s">
        <v>26</v>
      </c>
      <c r="H131" t="s">
        <v>1773</v>
      </c>
      <c r="J131" t="s">
        <v>27</v>
      </c>
    </row>
    <row r="132" spans="1:10">
      <c r="E132" t="s">
        <v>1774</v>
      </c>
    </row>
    <row r="133" spans="1:10">
      <c r="E133" t="s">
        <v>1775</v>
      </c>
    </row>
    <row r="134" spans="1:10">
      <c r="E134" t="s">
        <v>1776</v>
      </c>
    </row>
    <row r="135" spans="1:10">
      <c r="A135" t="s">
        <v>1777</v>
      </c>
      <c r="B135" t="s">
        <v>433</v>
      </c>
      <c r="C135" t="s">
        <v>105</v>
      </c>
      <c r="D135" t="s">
        <v>1778</v>
      </c>
      <c r="E135" t="s">
        <v>1779</v>
      </c>
      <c r="G135" t="s">
        <v>521</v>
      </c>
      <c r="H135" t="s">
        <v>1780</v>
      </c>
      <c r="J135" t="s">
        <v>42</v>
      </c>
    </row>
    <row r="136" spans="1:10">
      <c r="E136" t="s">
        <v>1781</v>
      </c>
    </row>
    <row r="137" spans="1:10">
      <c r="E137" t="s">
        <v>1782</v>
      </c>
    </row>
    <row r="138" spans="1:10">
      <c r="A138" t="s">
        <v>1783</v>
      </c>
      <c r="B138" t="s">
        <v>433</v>
      </c>
      <c r="C138" t="s">
        <v>105</v>
      </c>
      <c r="D138" t="s">
        <v>1784</v>
      </c>
      <c r="E138" t="s">
        <v>1785</v>
      </c>
      <c r="G138" t="s">
        <v>26</v>
      </c>
      <c r="H138" t="s">
        <v>1786</v>
      </c>
      <c r="J138" t="s">
        <v>27</v>
      </c>
    </row>
    <row r="139" spans="1:10">
      <c r="E139" t="s">
        <v>1787</v>
      </c>
    </row>
    <row r="140" spans="1:10">
      <c r="E140" t="s">
        <v>1788</v>
      </c>
    </row>
    <row r="141" spans="1:10">
      <c r="E141" t="s">
        <v>1789</v>
      </c>
    </row>
    <row r="142" spans="1:10">
      <c r="A142" t="s">
        <v>1790</v>
      </c>
      <c r="B142" t="s">
        <v>433</v>
      </c>
      <c r="C142" t="s">
        <v>105</v>
      </c>
      <c r="D142" t="s">
        <v>1791</v>
      </c>
      <c r="E142" t="s">
        <v>1792</v>
      </c>
      <c r="G142" t="s">
        <v>26</v>
      </c>
      <c r="H142" t="s">
        <v>1793</v>
      </c>
      <c r="J142" t="s">
        <v>42</v>
      </c>
    </row>
    <row r="143" spans="1:10">
      <c r="E143" t="s">
        <v>1794</v>
      </c>
    </row>
    <row r="144" spans="1:10">
      <c r="E144" t="s">
        <v>1795</v>
      </c>
    </row>
    <row r="145" spans="1:10">
      <c r="A145" t="s">
        <v>1796</v>
      </c>
      <c r="B145" t="s">
        <v>433</v>
      </c>
      <c r="C145" t="s">
        <v>108</v>
      </c>
      <c r="D145" t="s">
        <v>1797</v>
      </c>
      <c r="E145" t="s">
        <v>1798</v>
      </c>
      <c r="G145" t="s">
        <v>26</v>
      </c>
      <c r="H145" t="s">
        <v>1799</v>
      </c>
      <c r="J145" t="s">
        <v>27</v>
      </c>
    </row>
    <row r="146" spans="1:10">
      <c r="E146" t="s">
        <v>1800</v>
      </c>
    </row>
    <row r="147" spans="1:10">
      <c r="E147" t="s">
        <v>1801</v>
      </c>
    </row>
    <row r="148" spans="1:10">
      <c r="A148" t="s">
        <v>1802</v>
      </c>
      <c r="B148" t="s">
        <v>433</v>
      </c>
      <c r="C148" t="s">
        <v>108</v>
      </c>
      <c r="D148" t="s">
        <v>1803</v>
      </c>
      <c r="E148" t="s">
        <v>1804</v>
      </c>
      <c r="G148" t="s">
        <v>26</v>
      </c>
      <c r="H148" t="s">
        <v>1805</v>
      </c>
      <c r="J148" t="s">
        <v>27</v>
      </c>
    </row>
    <row r="149" spans="1:10">
      <c r="E149" t="s">
        <v>1806</v>
      </c>
    </row>
    <row r="150" spans="1:10">
      <c r="A150" t="s">
        <v>1807</v>
      </c>
      <c r="B150" t="s">
        <v>433</v>
      </c>
      <c r="C150" t="s">
        <v>108</v>
      </c>
      <c r="D150" t="s">
        <v>1808</v>
      </c>
      <c r="E150" t="s">
        <v>1809</v>
      </c>
      <c r="G150" t="s">
        <v>521</v>
      </c>
      <c r="H150" t="s">
        <v>1810</v>
      </c>
      <c r="J150" t="s">
        <v>27</v>
      </c>
    </row>
    <row r="151" spans="1:10">
      <c r="E151" t="s">
        <v>1811</v>
      </c>
    </row>
    <row r="152" spans="1:10">
      <c r="E152" t="s">
        <v>1812</v>
      </c>
    </row>
    <row r="153" spans="1:10">
      <c r="A153" t="s">
        <v>1813</v>
      </c>
      <c r="B153" t="s">
        <v>433</v>
      </c>
      <c r="C153" t="s">
        <v>108</v>
      </c>
      <c r="D153" t="s">
        <v>1814</v>
      </c>
      <c r="E153" t="s">
        <v>1815</v>
      </c>
      <c r="G153" t="s">
        <v>26</v>
      </c>
      <c r="H153" t="s">
        <v>1816</v>
      </c>
      <c r="J153" t="s">
        <v>42</v>
      </c>
    </row>
    <row r="154" spans="1:10">
      <c r="E154" t="s">
        <v>1817</v>
      </c>
    </row>
    <row r="155" spans="1:10">
      <c r="E155" t="s">
        <v>1818</v>
      </c>
    </row>
    <row r="156" spans="1:10">
      <c r="A156" t="s">
        <v>1819</v>
      </c>
      <c r="B156" t="s">
        <v>433</v>
      </c>
      <c r="C156" t="s">
        <v>108</v>
      </c>
      <c r="D156" t="s">
        <v>1820</v>
      </c>
      <c r="E156" t="s">
        <v>1821</v>
      </c>
      <c r="G156" t="s">
        <v>26</v>
      </c>
      <c r="H156" t="s">
        <v>1822</v>
      </c>
      <c r="J156" t="s">
        <v>464</v>
      </c>
    </row>
    <row r="157" spans="1:10">
      <c r="E157" t="s">
        <v>1823</v>
      </c>
    </row>
    <row r="158" spans="1:10">
      <c r="E158" t="s">
        <v>1824</v>
      </c>
    </row>
    <row r="159" spans="1:10">
      <c r="A159" t="s">
        <v>1825</v>
      </c>
      <c r="B159" t="s">
        <v>433</v>
      </c>
      <c r="C159" t="s">
        <v>108</v>
      </c>
      <c r="D159" t="s">
        <v>1826</v>
      </c>
      <c r="E159" t="s">
        <v>1827</v>
      </c>
      <c r="G159" t="s">
        <v>521</v>
      </c>
      <c r="H159" t="s">
        <v>1828</v>
      </c>
      <c r="J159" t="s">
        <v>27</v>
      </c>
    </row>
    <row r="160" spans="1:10">
      <c r="E160" t="s">
        <v>1829</v>
      </c>
    </row>
    <row r="161" spans="1:10">
      <c r="E161" t="s">
        <v>1830</v>
      </c>
    </row>
    <row r="162" spans="1:10">
      <c r="E162" t="s">
        <v>1831</v>
      </c>
    </row>
    <row r="163" spans="1:10">
      <c r="A163" t="s">
        <v>1832</v>
      </c>
      <c r="B163" t="s">
        <v>433</v>
      </c>
      <c r="C163" t="s">
        <v>111</v>
      </c>
      <c r="D163" t="s">
        <v>1833</v>
      </c>
      <c r="E163" t="s">
        <v>1834</v>
      </c>
      <c r="G163" t="s">
        <v>26</v>
      </c>
      <c r="H163" t="s">
        <v>1835</v>
      </c>
      <c r="J163" t="s">
        <v>27</v>
      </c>
    </row>
    <row r="164" spans="1:10">
      <c r="E164" t="s">
        <v>1836</v>
      </c>
    </row>
    <row r="165" spans="1:10">
      <c r="E165" t="s">
        <v>1837</v>
      </c>
    </row>
    <row r="166" spans="1:10">
      <c r="A166" t="s">
        <v>1838</v>
      </c>
      <c r="B166" t="s">
        <v>433</v>
      </c>
      <c r="C166" t="s">
        <v>111</v>
      </c>
      <c r="D166" t="s">
        <v>1839</v>
      </c>
      <c r="E166" t="s">
        <v>1840</v>
      </c>
      <c r="G166" t="s">
        <v>26</v>
      </c>
      <c r="H166" t="s">
        <v>1841</v>
      </c>
      <c r="J166" t="s">
        <v>42</v>
      </c>
    </row>
    <row r="167" spans="1:10">
      <c r="E167" t="s">
        <v>1842</v>
      </c>
    </row>
    <row r="168" spans="1:10">
      <c r="E168" t="s">
        <v>1843</v>
      </c>
    </row>
    <row r="169" spans="1:10">
      <c r="E169" t="s">
        <v>1844</v>
      </c>
    </row>
    <row r="170" spans="1:10">
      <c r="A170" t="s">
        <v>1845</v>
      </c>
      <c r="B170" t="s">
        <v>433</v>
      </c>
      <c r="C170" t="s">
        <v>111</v>
      </c>
      <c r="D170" t="s">
        <v>1846</v>
      </c>
      <c r="E170" t="s">
        <v>1847</v>
      </c>
      <c r="F170" t="s">
        <v>1848</v>
      </c>
      <c r="G170" t="s">
        <v>26</v>
      </c>
      <c r="H170" t="s">
        <v>1849</v>
      </c>
      <c r="J170" t="s">
        <v>27</v>
      </c>
    </row>
    <row r="171" spans="1:10">
      <c r="E171" t="s">
        <v>1850</v>
      </c>
    </row>
    <row r="172" spans="1:10">
      <c r="E172" t="s">
        <v>1851</v>
      </c>
    </row>
    <row r="173" spans="1:10">
      <c r="A173" t="s">
        <v>1852</v>
      </c>
      <c r="B173" t="s">
        <v>433</v>
      </c>
      <c r="C173" t="s">
        <v>111</v>
      </c>
      <c r="D173" t="s">
        <v>1853</v>
      </c>
      <c r="E173" t="s">
        <v>1711</v>
      </c>
      <c r="G173" t="s">
        <v>521</v>
      </c>
      <c r="H173" t="s">
        <v>1854</v>
      </c>
      <c r="J173" t="s">
        <v>42</v>
      </c>
    </row>
    <row r="174" spans="1:10">
      <c r="E174" t="s">
        <v>1855</v>
      </c>
    </row>
    <row r="175" spans="1:10">
      <c r="E175" t="s">
        <v>1856</v>
      </c>
    </row>
    <row r="176" spans="1:10">
      <c r="E176" t="s">
        <v>1857</v>
      </c>
    </row>
    <row r="177" spans="1:10">
      <c r="A177" t="s">
        <v>1858</v>
      </c>
      <c r="B177" t="s">
        <v>433</v>
      </c>
      <c r="C177" t="s">
        <v>114</v>
      </c>
      <c r="D177" t="s">
        <v>1859</v>
      </c>
      <c r="E177" t="s">
        <v>1860</v>
      </c>
      <c r="G177" t="s">
        <v>26</v>
      </c>
      <c r="H177" t="s">
        <v>1861</v>
      </c>
      <c r="J177" t="s">
        <v>27</v>
      </c>
    </row>
    <row r="178" spans="1:10">
      <c r="E178" t="s">
        <v>1862</v>
      </c>
    </row>
    <row r="179" spans="1:10">
      <c r="E179" t="s">
        <v>1863</v>
      </c>
    </row>
    <row r="180" spans="1:10">
      <c r="E180" t="s">
        <v>1864</v>
      </c>
    </row>
    <row r="181" spans="1:10">
      <c r="E181" t="s">
        <v>1865</v>
      </c>
    </row>
    <row r="182" spans="1:10">
      <c r="A182" t="s">
        <v>1866</v>
      </c>
      <c r="B182" t="s">
        <v>433</v>
      </c>
      <c r="C182" t="s">
        <v>114</v>
      </c>
      <c r="D182" t="s">
        <v>1867</v>
      </c>
      <c r="E182" t="s">
        <v>1868</v>
      </c>
      <c r="G182" t="s">
        <v>26</v>
      </c>
      <c r="H182" t="s">
        <v>1869</v>
      </c>
      <c r="J182" t="s">
        <v>42</v>
      </c>
    </row>
    <row r="183" spans="1:10">
      <c r="E183" t="s">
        <v>1870</v>
      </c>
    </row>
    <row r="184" spans="1:10">
      <c r="E184" t="s">
        <v>1871</v>
      </c>
    </row>
    <row r="185" spans="1:10">
      <c r="E185" t="s">
        <v>1872</v>
      </c>
    </row>
    <row r="186" spans="1:10">
      <c r="A186" t="s">
        <v>1873</v>
      </c>
      <c r="B186" t="s">
        <v>433</v>
      </c>
      <c r="C186" t="s">
        <v>114</v>
      </c>
      <c r="D186" t="s">
        <v>1874</v>
      </c>
      <c r="E186" t="s">
        <v>1875</v>
      </c>
      <c r="G186" t="s">
        <v>26</v>
      </c>
      <c r="H186" t="s">
        <v>1876</v>
      </c>
      <c r="J186" t="s">
        <v>42</v>
      </c>
    </row>
    <row r="187" spans="1:10">
      <c r="E187" t="s">
        <v>1877</v>
      </c>
    </row>
    <row r="188" spans="1:10">
      <c r="E188" t="s">
        <v>1878</v>
      </c>
    </row>
    <row r="189" spans="1:10">
      <c r="E189" t="s">
        <v>1879</v>
      </c>
    </row>
    <row r="190" spans="1:10">
      <c r="A190" t="s">
        <v>1880</v>
      </c>
      <c r="B190" t="s">
        <v>433</v>
      </c>
      <c r="C190" t="s">
        <v>114</v>
      </c>
      <c r="D190" t="s">
        <v>1881</v>
      </c>
      <c r="E190" t="s">
        <v>1882</v>
      </c>
      <c r="G190" t="s">
        <v>26</v>
      </c>
      <c r="H190" t="s">
        <v>1883</v>
      </c>
      <c r="J190" t="s">
        <v>464</v>
      </c>
    </row>
    <row r="191" spans="1:10">
      <c r="E191" t="s">
        <v>1884</v>
      </c>
    </row>
    <row r="192" spans="1:10">
      <c r="E192" t="s">
        <v>1885</v>
      </c>
    </row>
    <row r="193" spans="1:10">
      <c r="E193" t="s">
        <v>1886</v>
      </c>
    </row>
    <row r="194" spans="1:10">
      <c r="A194" t="s">
        <v>1887</v>
      </c>
      <c r="B194" t="s">
        <v>433</v>
      </c>
      <c r="C194" t="s">
        <v>117</v>
      </c>
      <c r="D194" t="s">
        <v>1888</v>
      </c>
      <c r="E194" t="s">
        <v>1889</v>
      </c>
      <c r="G194" t="s">
        <v>26</v>
      </c>
      <c r="H194" t="s">
        <v>1890</v>
      </c>
      <c r="J194" t="s">
        <v>42</v>
      </c>
    </row>
    <row r="195" spans="1:10">
      <c r="E195" t="s">
        <v>1891</v>
      </c>
    </row>
    <row r="196" spans="1:10">
      <c r="E196" t="s">
        <v>1892</v>
      </c>
    </row>
    <row r="197" spans="1:10">
      <c r="E197" t="s">
        <v>1893</v>
      </c>
    </row>
    <row r="198" spans="1:10">
      <c r="A198" t="s">
        <v>1894</v>
      </c>
      <c r="B198" t="s">
        <v>433</v>
      </c>
      <c r="C198" t="s">
        <v>117</v>
      </c>
      <c r="D198" t="s">
        <v>1895</v>
      </c>
      <c r="E198" t="s">
        <v>1896</v>
      </c>
      <c r="G198" t="s">
        <v>26</v>
      </c>
      <c r="H198" t="s">
        <v>1897</v>
      </c>
      <c r="J198" t="s">
        <v>42</v>
      </c>
    </row>
    <row r="199" spans="1:10">
      <c r="E199" t="s">
        <v>1898</v>
      </c>
    </row>
    <row r="200" spans="1:10">
      <c r="E200" t="s">
        <v>1899</v>
      </c>
    </row>
    <row r="201" spans="1:10">
      <c r="E201" t="s">
        <v>1900</v>
      </c>
    </row>
    <row r="202" spans="1:10">
      <c r="A202" t="s">
        <v>1901</v>
      </c>
      <c r="B202" t="s">
        <v>433</v>
      </c>
      <c r="C202" t="s">
        <v>117</v>
      </c>
      <c r="D202" t="s">
        <v>1902</v>
      </c>
      <c r="E202" t="s">
        <v>1889</v>
      </c>
      <c r="G202" t="s">
        <v>26</v>
      </c>
      <c r="H202" t="s">
        <v>1903</v>
      </c>
      <c r="J202" t="s">
        <v>42</v>
      </c>
    </row>
    <row r="203" spans="1:10">
      <c r="E203" t="s">
        <v>1904</v>
      </c>
    </row>
    <row r="204" spans="1:10">
      <c r="E204" t="s">
        <v>1905</v>
      </c>
    </row>
    <row r="205" spans="1:10">
      <c r="E205" t="s">
        <v>1906</v>
      </c>
    </row>
    <row r="206" spans="1:10">
      <c r="E206" t="s">
        <v>1907</v>
      </c>
    </row>
    <row r="207" spans="1:10">
      <c r="A207" t="s">
        <v>1908</v>
      </c>
      <c r="B207" t="s">
        <v>433</v>
      </c>
      <c r="C207" t="s">
        <v>117</v>
      </c>
      <c r="D207" t="s">
        <v>1909</v>
      </c>
      <c r="E207" t="s">
        <v>1910</v>
      </c>
      <c r="G207" t="s">
        <v>521</v>
      </c>
      <c r="H207" t="s">
        <v>1911</v>
      </c>
      <c r="J207" t="s">
        <v>464</v>
      </c>
    </row>
    <row r="208" spans="1:10">
      <c r="E208" t="s">
        <v>1912</v>
      </c>
    </row>
    <row r="209" spans="1:10">
      <c r="E209" t="s">
        <v>1913</v>
      </c>
    </row>
    <row r="210" spans="1:10">
      <c r="A210" t="s">
        <v>1914</v>
      </c>
      <c r="B210" t="s">
        <v>433</v>
      </c>
      <c r="C210" t="s">
        <v>117</v>
      </c>
      <c r="D210" t="s">
        <v>1915</v>
      </c>
      <c r="E210" t="s">
        <v>1916</v>
      </c>
      <c r="G210" t="s">
        <v>521</v>
      </c>
      <c r="H210" t="s">
        <v>1917</v>
      </c>
      <c r="J210" t="s">
        <v>27</v>
      </c>
    </row>
    <row r="211" spans="1:10">
      <c r="E211" t="s">
        <v>1918</v>
      </c>
    </row>
    <row r="212" spans="1:10">
      <c r="E212" t="s">
        <v>1919</v>
      </c>
    </row>
    <row r="213" spans="1:10">
      <c r="E213" t="s">
        <v>1920</v>
      </c>
    </row>
    <row r="214" spans="1:10">
      <c r="A214" t="s">
        <v>1921</v>
      </c>
      <c r="B214" t="s">
        <v>433</v>
      </c>
      <c r="C214" t="s">
        <v>120</v>
      </c>
      <c r="D214" t="s">
        <v>1922</v>
      </c>
      <c r="E214" t="s">
        <v>1923</v>
      </c>
      <c r="G214" t="s">
        <v>26</v>
      </c>
      <c r="H214" t="s">
        <v>1924</v>
      </c>
      <c r="J214" t="s">
        <v>27</v>
      </c>
    </row>
    <row r="215" spans="1:10">
      <c r="E215" t="s">
        <v>1925</v>
      </c>
    </row>
    <row r="216" spans="1:10">
      <c r="E216" t="s">
        <v>1926</v>
      </c>
    </row>
    <row r="217" spans="1:10">
      <c r="E217" t="s">
        <v>1927</v>
      </c>
    </row>
    <row r="218" spans="1:10">
      <c r="A218" t="s">
        <v>1928</v>
      </c>
      <c r="B218" t="s">
        <v>433</v>
      </c>
      <c r="C218" t="s">
        <v>120</v>
      </c>
      <c r="D218" t="s">
        <v>1929</v>
      </c>
      <c r="E218" t="s">
        <v>1930</v>
      </c>
      <c r="G218" t="s">
        <v>26</v>
      </c>
      <c r="H218" t="s">
        <v>1931</v>
      </c>
      <c r="J218" t="s">
        <v>27</v>
      </c>
    </row>
    <row r="219" spans="1:10">
      <c r="E219" t="s">
        <v>1932</v>
      </c>
    </row>
    <row r="220" spans="1:10">
      <c r="E220" t="s">
        <v>1933</v>
      </c>
    </row>
    <row r="221" spans="1:10">
      <c r="E221" t="s">
        <v>1934</v>
      </c>
    </row>
    <row r="222" spans="1:10">
      <c r="A222" t="s">
        <v>1935</v>
      </c>
      <c r="B222" t="s">
        <v>433</v>
      </c>
      <c r="C222" t="s">
        <v>120</v>
      </c>
      <c r="D222" t="s">
        <v>1936</v>
      </c>
      <c r="E222" t="s">
        <v>1937</v>
      </c>
      <c r="G222" t="s">
        <v>521</v>
      </c>
      <c r="H222" t="s">
        <v>1938</v>
      </c>
      <c r="J222" t="s">
        <v>27</v>
      </c>
    </row>
    <row r="223" spans="1:10">
      <c r="E223" t="s">
        <v>1939</v>
      </c>
    </row>
    <row r="224" spans="1:10">
      <c r="E224" t="s">
        <v>1940</v>
      </c>
    </row>
    <row r="225" spans="1:10">
      <c r="E225" t="s">
        <v>1941</v>
      </c>
    </row>
    <row r="226" spans="1:10">
      <c r="A226" t="s">
        <v>1942</v>
      </c>
      <c r="B226" t="s">
        <v>433</v>
      </c>
      <c r="C226" t="s">
        <v>120</v>
      </c>
      <c r="D226" t="s">
        <v>1943</v>
      </c>
      <c r="E226" t="s">
        <v>1944</v>
      </c>
      <c r="G226" t="s">
        <v>521</v>
      </c>
      <c r="H226" t="s">
        <v>1945</v>
      </c>
      <c r="J226" t="s">
        <v>27</v>
      </c>
    </row>
    <row r="227" spans="1:10">
      <c r="E227" t="s">
        <v>1946</v>
      </c>
    </row>
    <row r="228" spans="1:10">
      <c r="E228" t="s">
        <v>1940</v>
      </c>
    </row>
    <row r="229" spans="1:10">
      <c r="E229" t="s">
        <v>1947</v>
      </c>
    </row>
    <row r="230" spans="1:10">
      <c r="A230" t="s">
        <v>1948</v>
      </c>
      <c r="B230" t="s">
        <v>433</v>
      </c>
      <c r="C230" t="s">
        <v>120</v>
      </c>
      <c r="D230" t="s">
        <v>1949</v>
      </c>
      <c r="E230" t="s">
        <v>1950</v>
      </c>
      <c r="G230" t="s">
        <v>26</v>
      </c>
      <c r="H230" t="s">
        <v>1951</v>
      </c>
      <c r="J230" t="s">
        <v>464</v>
      </c>
    </row>
    <row r="231" spans="1:10">
      <c r="E231" t="s">
        <v>1952</v>
      </c>
    </row>
    <row r="232" spans="1:10">
      <c r="E232" t="s">
        <v>1953</v>
      </c>
    </row>
    <row r="233" spans="1:10">
      <c r="A233" t="s">
        <v>1954</v>
      </c>
      <c r="B233" t="s">
        <v>433</v>
      </c>
      <c r="C233" t="s">
        <v>120</v>
      </c>
      <c r="D233" t="s">
        <v>1955</v>
      </c>
      <c r="E233" t="s">
        <v>1956</v>
      </c>
      <c r="G233" t="s">
        <v>26</v>
      </c>
      <c r="H233" t="s">
        <v>1957</v>
      </c>
      <c r="J233" t="s">
        <v>42</v>
      </c>
    </row>
    <row r="234" spans="1:10">
      <c r="E234" t="s">
        <v>1958</v>
      </c>
    </row>
    <row r="235" spans="1:10">
      <c r="E235" t="s">
        <v>1959</v>
      </c>
    </row>
    <row r="236" spans="1:10">
      <c r="E236" t="s">
        <v>1960</v>
      </c>
    </row>
    <row r="237" spans="1:10">
      <c r="A237" t="s">
        <v>1961</v>
      </c>
      <c r="B237" t="s">
        <v>433</v>
      </c>
      <c r="C237" t="s">
        <v>120</v>
      </c>
      <c r="D237" t="s">
        <v>1962</v>
      </c>
      <c r="E237" t="s">
        <v>1963</v>
      </c>
      <c r="G237" t="s">
        <v>26</v>
      </c>
      <c r="H237" t="s">
        <v>1964</v>
      </c>
      <c r="J237" t="s">
        <v>42</v>
      </c>
    </row>
    <row r="238" spans="1:10">
      <c r="E238" t="s">
        <v>1965</v>
      </c>
    </row>
    <row r="239" spans="1:10">
      <c r="E239" t="s">
        <v>1966</v>
      </c>
    </row>
    <row r="240" spans="1:10">
      <c r="E240" t="s">
        <v>1967</v>
      </c>
    </row>
    <row r="241" spans="1:10">
      <c r="A241" t="s">
        <v>1968</v>
      </c>
      <c r="B241" t="s">
        <v>433</v>
      </c>
      <c r="C241" t="s">
        <v>123</v>
      </c>
      <c r="D241" t="s">
        <v>1969</v>
      </c>
      <c r="E241" t="s">
        <v>1970</v>
      </c>
      <c r="G241" t="s">
        <v>26</v>
      </c>
      <c r="H241" t="s">
        <v>1971</v>
      </c>
      <c r="J241" t="s">
        <v>27</v>
      </c>
    </row>
    <row r="242" spans="1:10">
      <c r="E242" t="s">
        <v>1972</v>
      </c>
    </row>
    <row r="243" spans="1:10">
      <c r="E243" t="s">
        <v>1973</v>
      </c>
    </row>
    <row r="244" spans="1:10">
      <c r="A244" t="s">
        <v>1974</v>
      </c>
      <c r="B244" t="s">
        <v>433</v>
      </c>
      <c r="C244" t="s">
        <v>123</v>
      </c>
      <c r="D244" t="s">
        <v>1975</v>
      </c>
      <c r="E244" t="s">
        <v>1976</v>
      </c>
      <c r="G244" t="s">
        <v>26</v>
      </c>
      <c r="H244" t="s">
        <v>1977</v>
      </c>
      <c r="J244" t="s">
        <v>42</v>
      </c>
    </row>
    <row r="245" spans="1:10">
      <c r="E245" t="s">
        <v>1978</v>
      </c>
    </row>
    <row r="246" spans="1:10">
      <c r="E246" t="s">
        <v>1979</v>
      </c>
    </row>
    <row r="247" spans="1:10">
      <c r="A247" t="s">
        <v>1980</v>
      </c>
      <c r="B247" t="s">
        <v>433</v>
      </c>
      <c r="C247" t="s">
        <v>123</v>
      </c>
      <c r="D247" t="s">
        <v>1981</v>
      </c>
      <c r="E247" t="s">
        <v>1982</v>
      </c>
      <c r="G247" t="s">
        <v>26</v>
      </c>
      <c r="H247" t="s">
        <v>1983</v>
      </c>
      <c r="J247" t="s">
        <v>42</v>
      </c>
    </row>
    <row r="248" spans="1:10">
      <c r="E248" t="s">
        <v>1984</v>
      </c>
    </row>
    <row r="249" spans="1:10">
      <c r="E249" t="s">
        <v>1985</v>
      </c>
    </row>
    <row r="250" spans="1:10">
      <c r="A250" t="s">
        <v>1986</v>
      </c>
      <c r="B250" t="s">
        <v>433</v>
      </c>
      <c r="C250" t="s">
        <v>123</v>
      </c>
      <c r="D250" t="s">
        <v>1987</v>
      </c>
      <c r="E250" t="s">
        <v>1988</v>
      </c>
      <c r="G250" t="s">
        <v>521</v>
      </c>
      <c r="H250" t="s">
        <v>1989</v>
      </c>
      <c r="J250" t="s">
        <v>42</v>
      </c>
    </row>
    <row r="251" spans="1:10">
      <c r="E251" t="s">
        <v>1990</v>
      </c>
    </row>
    <row r="252" spans="1:10">
      <c r="E252" t="s">
        <v>1991</v>
      </c>
    </row>
    <row r="253" spans="1:10">
      <c r="A253" t="s">
        <v>1992</v>
      </c>
      <c r="B253" t="s">
        <v>433</v>
      </c>
      <c r="C253" t="s">
        <v>123</v>
      </c>
      <c r="D253" t="s">
        <v>1993</v>
      </c>
      <c r="E253" t="s">
        <v>1994</v>
      </c>
      <c r="G253" t="s">
        <v>26</v>
      </c>
      <c r="H253" t="s">
        <v>1995</v>
      </c>
      <c r="J253" t="s">
        <v>27</v>
      </c>
    </row>
    <row r="254" spans="1:10">
      <c r="E254" t="s">
        <v>1996</v>
      </c>
    </row>
    <row r="255" spans="1:10">
      <c r="E255" t="s">
        <v>1997</v>
      </c>
    </row>
    <row r="256" spans="1:10">
      <c r="E256" t="s">
        <v>1998</v>
      </c>
    </row>
    <row r="257" spans="1:10">
      <c r="A257" t="s">
        <v>1999</v>
      </c>
      <c r="B257" t="s">
        <v>433</v>
      </c>
      <c r="C257" t="s">
        <v>126</v>
      </c>
      <c r="D257" t="s">
        <v>2000</v>
      </c>
      <c r="E257" t="s">
        <v>2001</v>
      </c>
      <c r="G257" t="s">
        <v>26</v>
      </c>
      <c r="H257" t="s">
        <v>2002</v>
      </c>
      <c r="J257" t="s">
        <v>27</v>
      </c>
    </row>
    <row r="258" spans="1:10">
      <c r="E258" t="s">
        <v>2003</v>
      </c>
    </row>
    <row r="259" spans="1:10">
      <c r="E259" t="s">
        <v>2004</v>
      </c>
    </row>
    <row r="260" spans="1:10">
      <c r="A260" t="s">
        <v>2005</v>
      </c>
      <c r="B260" t="s">
        <v>433</v>
      </c>
      <c r="C260" t="s">
        <v>126</v>
      </c>
      <c r="D260" t="s">
        <v>2006</v>
      </c>
      <c r="E260" t="s">
        <v>2007</v>
      </c>
      <c r="G260" t="s">
        <v>26</v>
      </c>
      <c r="H260" t="s">
        <v>2008</v>
      </c>
      <c r="J260" t="s">
        <v>42</v>
      </c>
    </row>
    <row r="261" spans="1:10">
      <c r="E261" t="s">
        <v>2009</v>
      </c>
    </row>
    <row r="262" spans="1:10">
      <c r="E262" t="s">
        <v>2010</v>
      </c>
    </row>
    <row r="263" spans="1:10">
      <c r="E263" t="s">
        <v>2011</v>
      </c>
    </row>
    <row r="264" spans="1:10">
      <c r="A264" t="s">
        <v>2012</v>
      </c>
      <c r="B264" t="s">
        <v>433</v>
      </c>
      <c r="C264" t="s">
        <v>126</v>
      </c>
      <c r="D264" t="s">
        <v>2013</v>
      </c>
      <c r="E264" t="s">
        <v>2014</v>
      </c>
      <c r="G264" t="s">
        <v>26</v>
      </c>
      <c r="H264" t="s">
        <v>2015</v>
      </c>
      <c r="J264" t="s">
        <v>464</v>
      </c>
    </row>
    <row r="265" spans="1:10">
      <c r="E265" t="s">
        <v>1823</v>
      </c>
    </row>
    <row r="266" spans="1:10">
      <c r="E266" t="s">
        <v>2016</v>
      </c>
    </row>
    <row r="267" spans="1:10">
      <c r="A267" t="s">
        <v>2017</v>
      </c>
      <c r="B267" t="s">
        <v>433</v>
      </c>
      <c r="C267" t="s">
        <v>126</v>
      </c>
      <c r="D267" t="s">
        <v>2018</v>
      </c>
      <c r="E267" t="s">
        <v>2019</v>
      </c>
      <c r="G267" t="s">
        <v>521</v>
      </c>
      <c r="H267" t="s">
        <v>2020</v>
      </c>
      <c r="J267" t="s">
        <v>464</v>
      </c>
    </row>
    <row r="268" spans="1:10">
      <c r="E268" t="s">
        <v>2021</v>
      </c>
    </row>
    <row r="269" spans="1:10">
      <c r="E269" t="s">
        <v>2022</v>
      </c>
    </row>
    <row r="270" spans="1:10">
      <c r="E270" t="s">
        <v>2023</v>
      </c>
    </row>
    <row r="271" spans="1:10">
      <c r="A271" t="s">
        <v>2024</v>
      </c>
      <c r="B271" t="s">
        <v>433</v>
      </c>
      <c r="C271" t="s">
        <v>126</v>
      </c>
      <c r="D271" t="s">
        <v>2025</v>
      </c>
      <c r="E271" t="s">
        <v>1827</v>
      </c>
      <c r="G271" t="s">
        <v>521</v>
      </c>
      <c r="H271" t="s">
        <v>2026</v>
      </c>
      <c r="J271" t="s">
        <v>27</v>
      </c>
    </row>
    <row r="272" spans="1:10">
      <c r="E272" t="s">
        <v>2027</v>
      </c>
    </row>
    <row r="273" spans="1:12">
      <c r="E273" t="s">
        <v>2028</v>
      </c>
    </row>
    <row r="274" spans="1:12">
      <c r="E274" t="s">
        <v>2029</v>
      </c>
    </row>
    <row r="275" spans="1:12">
      <c r="A275" t="s">
        <v>2030</v>
      </c>
      <c r="B275" t="s">
        <v>433</v>
      </c>
      <c r="C275" t="s">
        <v>129</v>
      </c>
      <c r="D275" t="s">
        <v>2031</v>
      </c>
      <c r="E275" t="s">
        <v>2032</v>
      </c>
      <c r="G275" t="s">
        <v>26</v>
      </c>
      <c r="H275" t="s">
        <v>2033</v>
      </c>
      <c r="J275" t="s">
        <v>27</v>
      </c>
    </row>
    <row r="276" spans="1:12">
      <c r="E276" t="s">
        <v>2034</v>
      </c>
    </row>
    <row r="277" spans="1:12">
      <c r="E277" t="s">
        <v>2035</v>
      </c>
    </row>
    <row r="278" spans="1:12">
      <c r="A278" t="s">
        <v>2036</v>
      </c>
      <c r="B278" t="s">
        <v>433</v>
      </c>
      <c r="C278" t="s">
        <v>129</v>
      </c>
      <c r="D278" t="s">
        <v>2037</v>
      </c>
      <c r="E278" t="s">
        <v>2038</v>
      </c>
      <c r="F278" t="s">
        <v>2039</v>
      </c>
      <c r="G278" t="s">
        <v>26</v>
      </c>
      <c r="H278" t="s">
        <v>2040</v>
      </c>
      <c r="J278" t="s">
        <v>27</v>
      </c>
      <c r="L278" t="s">
        <v>2041</v>
      </c>
    </row>
    <row r="279" spans="1:12">
      <c r="E279" t="s">
        <v>2042</v>
      </c>
    </row>
    <row r="280" spans="1:12">
      <c r="E280" t="s">
        <v>2043</v>
      </c>
    </row>
    <row r="281" spans="1:12">
      <c r="E281" t="s">
        <v>2044</v>
      </c>
    </row>
    <row r="282" spans="1:12">
      <c r="A282" t="s">
        <v>2045</v>
      </c>
      <c r="B282" t="s">
        <v>433</v>
      </c>
      <c r="C282" t="s">
        <v>129</v>
      </c>
      <c r="D282" t="s">
        <v>2046</v>
      </c>
      <c r="E282" t="s">
        <v>2047</v>
      </c>
      <c r="G282" t="s">
        <v>521</v>
      </c>
      <c r="H282" t="s">
        <v>2048</v>
      </c>
      <c r="J282" t="s">
        <v>27</v>
      </c>
    </row>
    <row r="283" spans="1:12">
      <c r="E283" t="s">
        <v>2049</v>
      </c>
    </row>
    <row r="284" spans="1:12">
      <c r="E284" t="s">
        <v>2050</v>
      </c>
    </row>
    <row r="285" spans="1:12">
      <c r="E285" t="s">
        <v>2051</v>
      </c>
    </row>
    <row r="286" spans="1:12">
      <c r="A286" t="s">
        <v>2052</v>
      </c>
      <c r="B286" t="s">
        <v>433</v>
      </c>
      <c r="C286" t="s">
        <v>129</v>
      </c>
      <c r="D286" t="s">
        <v>2053</v>
      </c>
      <c r="E286" t="s">
        <v>2054</v>
      </c>
      <c r="G286" t="s">
        <v>26</v>
      </c>
      <c r="H286" t="s">
        <v>2055</v>
      </c>
      <c r="J286" t="s">
        <v>42</v>
      </c>
    </row>
    <row r="287" spans="1:12">
      <c r="E287" t="s">
        <v>2056</v>
      </c>
    </row>
    <row r="288" spans="1:12">
      <c r="E288" t="s">
        <v>2057</v>
      </c>
    </row>
    <row r="289" spans="1:10">
      <c r="A289" t="s">
        <v>2058</v>
      </c>
      <c r="B289" t="s">
        <v>433</v>
      </c>
      <c r="C289" t="s">
        <v>129</v>
      </c>
      <c r="D289" t="s">
        <v>2059</v>
      </c>
      <c r="E289" t="s">
        <v>2060</v>
      </c>
      <c r="G289" t="s">
        <v>26</v>
      </c>
      <c r="H289" t="s">
        <v>2061</v>
      </c>
      <c r="J289" t="s">
        <v>42</v>
      </c>
    </row>
    <row r="290" spans="1:10">
      <c r="E290" t="s">
        <v>2062</v>
      </c>
    </row>
    <row r="291" spans="1:10">
      <c r="E291" t="s">
        <v>2063</v>
      </c>
    </row>
    <row r="292" spans="1:10">
      <c r="E292" t="s">
        <v>2064</v>
      </c>
    </row>
    <row r="293" spans="1:10">
      <c r="A293" t="s">
        <v>2065</v>
      </c>
      <c r="B293" t="s">
        <v>433</v>
      </c>
      <c r="C293" t="s">
        <v>129</v>
      </c>
      <c r="D293" t="s">
        <v>2066</v>
      </c>
      <c r="E293" t="s">
        <v>2067</v>
      </c>
      <c r="G293" t="s">
        <v>521</v>
      </c>
      <c r="H293" t="s">
        <v>2068</v>
      </c>
      <c r="J293" t="s">
        <v>42</v>
      </c>
    </row>
    <row r="294" spans="1:10">
      <c r="E294" t="s">
        <v>2069</v>
      </c>
    </row>
    <row r="295" spans="1:10">
      <c r="E295" t="s">
        <v>2070</v>
      </c>
    </row>
    <row r="296" spans="1:10">
      <c r="A296" t="s">
        <v>2071</v>
      </c>
      <c r="B296" t="s">
        <v>433</v>
      </c>
      <c r="C296" t="s">
        <v>129</v>
      </c>
      <c r="D296" t="s">
        <v>2072</v>
      </c>
      <c r="E296" t="s">
        <v>2073</v>
      </c>
      <c r="F296" t="s">
        <v>2074</v>
      </c>
      <c r="G296" t="s">
        <v>521</v>
      </c>
      <c r="H296" t="s">
        <v>2075</v>
      </c>
      <c r="J296" t="s">
        <v>27</v>
      </c>
    </row>
    <row r="297" spans="1:10">
      <c r="E297" t="s">
        <v>2076</v>
      </c>
    </row>
    <row r="298" spans="1:10">
      <c r="E298" t="s">
        <v>2077</v>
      </c>
    </row>
    <row r="299" spans="1:10">
      <c r="E299" t="s">
        <v>2078</v>
      </c>
    </row>
    <row r="300" spans="1:10">
      <c r="A300" t="s">
        <v>2079</v>
      </c>
      <c r="B300" t="s">
        <v>433</v>
      </c>
      <c r="C300" t="s">
        <v>129</v>
      </c>
      <c r="D300" t="s">
        <v>2080</v>
      </c>
      <c r="E300" t="s">
        <v>2081</v>
      </c>
      <c r="G300" t="s">
        <v>2082</v>
      </c>
      <c r="H300" t="s">
        <v>2083</v>
      </c>
      <c r="J300" t="s">
        <v>27</v>
      </c>
    </row>
    <row r="301" spans="1:10">
      <c r="E301" t="s">
        <v>2084</v>
      </c>
    </row>
    <row r="302" spans="1:10">
      <c r="E302" t="s">
        <v>2085</v>
      </c>
    </row>
    <row r="303" spans="1:10">
      <c r="E303" t="s">
        <v>2086</v>
      </c>
    </row>
    <row r="304" spans="1:10">
      <c r="A304" t="s">
        <v>2087</v>
      </c>
      <c r="B304" t="s">
        <v>433</v>
      </c>
      <c r="C304" t="s">
        <v>133</v>
      </c>
      <c r="D304" t="s">
        <v>2088</v>
      </c>
      <c r="E304" t="s">
        <v>2089</v>
      </c>
      <c r="G304" t="s">
        <v>26</v>
      </c>
      <c r="H304" t="s">
        <v>2090</v>
      </c>
      <c r="J304" t="s">
        <v>27</v>
      </c>
    </row>
    <row r="305" spans="1:10">
      <c r="E305" t="s">
        <v>2091</v>
      </c>
    </row>
    <row r="306" spans="1:10">
      <c r="E306" t="s">
        <v>2092</v>
      </c>
    </row>
    <row r="307" spans="1:10">
      <c r="E307" t="s">
        <v>2093</v>
      </c>
    </row>
    <row r="308" spans="1:10">
      <c r="A308" t="s">
        <v>2094</v>
      </c>
      <c r="B308" t="s">
        <v>433</v>
      </c>
      <c r="C308" t="s">
        <v>133</v>
      </c>
      <c r="D308" t="s">
        <v>2095</v>
      </c>
      <c r="E308" t="s">
        <v>2096</v>
      </c>
      <c r="G308" t="s">
        <v>26</v>
      </c>
      <c r="H308" t="s">
        <v>2097</v>
      </c>
      <c r="J308" t="s">
        <v>27</v>
      </c>
    </row>
    <row r="309" spans="1:10">
      <c r="E309" t="s">
        <v>2098</v>
      </c>
    </row>
    <row r="310" spans="1:10">
      <c r="E310" t="s">
        <v>2099</v>
      </c>
    </row>
    <row r="311" spans="1:10">
      <c r="E311" t="s">
        <v>2100</v>
      </c>
    </row>
    <row r="312" spans="1:10">
      <c r="A312" t="s">
        <v>2101</v>
      </c>
      <c r="B312" t="s">
        <v>433</v>
      </c>
      <c r="C312" t="s">
        <v>133</v>
      </c>
      <c r="D312" t="s">
        <v>2102</v>
      </c>
      <c r="E312" t="s">
        <v>2103</v>
      </c>
      <c r="G312" t="s">
        <v>26</v>
      </c>
      <c r="H312" t="s">
        <v>2104</v>
      </c>
      <c r="J312" t="s">
        <v>42</v>
      </c>
    </row>
    <row r="313" spans="1:10">
      <c r="E313" t="s">
        <v>2105</v>
      </c>
    </row>
    <row r="314" spans="1:10">
      <c r="E314" t="s">
        <v>1927</v>
      </c>
    </row>
    <row r="315" spans="1:10">
      <c r="A315" t="s">
        <v>2106</v>
      </c>
      <c r="B315" t="s">
        <v>433</v>
      </c>
      <c r="C315" t="s">
        <v>133</v>
      </c>
      <c r="D315" t="s">
        <v>2107</v>
      </c>
      <c r="E315" t="s">
        <v>2108</v>
      </c>
      <c r="G315" t="s">
        <v>521</v>
      </c>
      <c r="H315" t="s">
        <v>2109</v>
      </c>
      <c r="J315" t="s">
        <v>27</v>
      </c>
    </row>
    <row r="316" spans="1:10">
      <c r="E316" t="s">
        <v>2110</v>
      </c>
    </row>
    <row r="317" spans="1:10">
      <c r="E317" t="s">
        <v>1966</v>
      </c>
    </row>
    <row r="318" spans="1:10">
      <c r="E318" t="s">
        <v>2111</v>
      </c>
    </row>
    <row r="319" spans="1:10">
      <c r="A319" t="s">
        <v>2112</v>
      </c>
      <c r="B319" t="s">
        <v>433</v>
      </c>
      <c r="C319" t="s">
        <v>133</v>
      </c>
      <c r="D319" t="s">
        <v>2113</v>
      </c>
      <c r="E319" t="s">
        <v>2114</v>
      </c>
      <c r="G319" t="s">
        <v>26</v>
      </c>
      <c r="H319" t="s">
        <v>2115</v>
      </c>
      <c r="J319" t="s">
        <v>27</v>
      </c>
    </row>
    <row r="320" spans="1:10">
      <c r="E320" t="s">
        <v>2116</v>
      </c>
    </row>
    <row r="321" spans="1:10">
      <c r="E321" t="s">
        <v>2117</v>
      </c>
    </row>
    <row r="322" spans="1:10">
      <c r="E322" t="s">
        <v>2118</v>
      </c>
    </row>
    <row r="323" spans="1:10">
      <c r="A323" t="s">
        <v>2119</v>
      </c>
      <c r="B323" t="s">
        <v>433</v>
      </c>
      <c r="C323" t="s">
        <v>136</v>
      </c>
      <c r="D323" t="s">
        <v>2120</v>
      </c>
      <c r="E323" t="s">
        <v>2121</v>
      </c>
      <c r="G323" t="s">
        <v>26</v>
      </c>
      <c r="H323" t="s">
        <v>2122</v>
      </c>
      <c r="J323" t="s">
        <v>42</v>
      </c>
    </row>
    <row r="324" spans="1:10">
      <c r="E324" t="s">
        <v>2123</v>
      </c>
    </row>
    <row r="325" spans="1:10">
      <c r="E325" t="s">
        <v>2124</v>
      </c>
    </row>
    <row r="326" spans="1:10">
      <c r="A326" t="s">
        <v>2125</v>
      </c>
      <c r="B326" t="s">
        <v>433</v>
      </c>
      <c r="C326" t="s">
        <v>136</v>
      </c>
      <c r="D326" t="s">
        <v>2126</v>
      </c>
      <c r="E326" t="s">
        <v>2127</v>
      </c>
      <c r="G326" t="s">
        <v>26</v>
      </c>
      <c r="H326" t="s">
        <v>2128</v>
      </c>
      <c r="J326" t="s">
        <v>42</v>
      </c>
    </row>
    <row r="327" spans="1:10">
      <c r="E327" t="s">
        <v>1842</v>
      </c>
    </row>
    <row r="328" spans="1:10">
      <c r="E328" t="s">
        <v>2129</v>
      </c>
    </row>
    <row r="329" spans="1:10">
      <c r="A329" t="s">
        <v>2130</v>
      </c>
      <c r="B329" t="s">
        <v>433</v>
      </c>
      <c r="C329" t="s">
        <v>136</v>
      </c>
      <c r="D329" t="s">
        <v>2131</v>
      </c>
      <c r="E329" t="s">
        <v>2132</v>
      </c>
      <c r="F329" t="s">
        <v>2133</v>
      </c>
      <c r="G329" t="s">
        <v>26</v>
      </c>
      <c r="H329" t="s">
        <v>2134</v>
      </c>
      <c r="J329" t="s">
        <v>27</v>
      </c>
    </row>
    <row r="330" spans="1:10">
      <c r="E330" t="s">
        <v>2135</v>
      </c>
    </row>
    <row r="331" spans="1:10">
      <c r="E331" t="s">
        <v>2136</v>
      </c>
    </row>
    <row r="332" spans="1:10">
      <c r="A332" t="s">
        <v>2137</v>
      </c>
      <c r="B332" t="s">
        <v>433</v>
      </c>
      <c r="C332" t="s">
        <v>136</v>
      </c>
      <c r="D332" t="s">
        <v>2138</v>
      </c>
      <c r="E332" t="s">
        <v>2139</v>
      </c>
      <c r="G332" t="s">
        <v>521</v>
      </c>
      <c r="H332" t="s">
        <v>2140</v>
      </c>
      <c r="J332" t="s">
        <v>27</v>
      </c>
    </row>
    <row r="333" spans="1:10">
      <c r="E333" t="s">
        <v>2141</v>
      </c>
    </row>
    <row r="334" spans="1:10">
      <c r="E334" t="s">
        <v>2142</v>
      </c>
    </row>
    <row r="335" spans="1:10">
      <c r="E335" t="s">
        <v>2143</v>
      </c>
    </row>
    <row r="336" spans="1:10">
      <c r="A336" t="s">
        <v>2144</v>
      </c>
      <c r="B336" t="s">
        <v>433</v>
      </c>
      <c r="C336" t="s">
        <v>136</v>
      </c>
      <c r="D336" t="s">
        <v>2145</v>
      </c>
      <c r="E336" t="s">
        <v>2146</v>
      </c>
      <c r="F336" t="s">
        <v>2147</v>
      </c>
      <c r="G336" t="s">
        <v>75</v>
      </c>
      <c r="H336" t="s">
        <v>2148</v>
      </c>
      <c r="J336" t="s">
        <v>27</v>
      </c>
    </row>
    <row r="337" spans="1:10">
      <c r="E337" t="s">
        <v>2149</v>
      </c>
    </row>
    <row r="338" spans="1:10">
      <c r="E338" t="s">
        <v>2150</v>
      </c>
    </row>
    <row r="339" spans="1:10">
      <c r="E339" t="s">
        <v>2151</v>
      </c>
    </row>
    <row r="340" spans="1:10">
      <c r="A340" t="s">
        <v>2152</v>
      </c>
      <c r="B340" t="s">
        <v>433</v>
      </c>
      <c r="C340" t="s">
        <v>140</v>
      </c>
      <c r="D340" t="s">
        <v>2153</v>
      </c>
      <c r="E340" t="s">
        <v>2154</v>
      </c>
      <c r="G340" t="s">
        <v>26</v>
      </c>
      <c r="H340" t="s">
        <v>2155</v>
      </c>
      <c r="J340" t="s">
        <v>27</v>
      </c>
    </row>
    <row r="341" spans="1:10">
      <c r="E341" t="s">
        <v>2156</v>
      </c>
    </row>
    <row r="342" spans="1:10">
      <c r="E342" t="s">
        <v>2157</v>
      </c>
    </row>
    <row r="343" spans="1:10">
      <c r="E343" t="s">
        <v>2158</v>
      </c>
    </row>
    <row r="344" spans="1:10">
      <c r="A344" t="s">
        <v>2159</v>
      </c>
      <c r="B344" t="s">
        <v>433</v>
      </c>
      <c r="C344" t="s">
        <v>140</v>
      </c>
      <c r="D344" t="s">
        <v>2160</v>
      </c>
      <c r="E344" t="s">
        <v>2161</v>
      </c>
      <c r="G344" t="s">
        <v>521</v>
      </c>
      <c r="H344" t="s">
        <v>2162</v>
      </c>
      <c r="J344" t="s">
        <v>42</v>
      </c>
    </row>
    <row r="345" spans="1:10">
      <c r="E345" t="s">
        <v>2163</v>
      </c>
    </row>
    <row r="346" spans="1:10">
      <c r="E346" t="s">
        <v>2164</v>
      </c>
    </row>
    <row r="347" spans="1:10">
      <c r="E347" t="s">
        <v>2165</v>
      </c>
    </row>
    <row r="348" spans="1:10">
      <c r="A348" t="s">
        <v>2166</v>
      </c>
      <c r="B348" t="s">
        <v>433</v>
      </c>
      <c r="C348" t="s">
        <v>143</v>
      </c>
      <c r="D348" t="s">
        <v>2167</v>
      </c>
      <c r="E348" t="s">
        <v>2168</v>
      </c>
      <c r="G348" t="s">
        <v>2082</v>
      </c>
      <c r="H348" t="s">
        <v>2169</v>
      </c>
      <c r="J348" t="s">
        <v>27</v>
      </c>
    </row>
    <row r="349" spans="1:10">
      <c r="E349" t="s">
        <v>2170</v>
      </c>
    </row>
    <row r="350" spans="1:10">
      <c r="E350" t="s">
        <v>2171</v>
      </c>
    </row>
    <row r="351" spans="1:10">
      <c r="A351" t="s">
        <v>2172</v>
      </c>
      <c r="B351" t="s">
        <v>433</v>
      </c>
      <c r="C351" t="s">
        <v>143</v>
      </c>
      <c r="D351" t="s">
        <v>2173</v>
      </c>
      <c r="E351" t="s">
        <v>2174</v>
      </c>
      <c r="G351" t="s">
        <v>2082</v>
      </c>
      <c r="H351" t="s">
        <v>2175</v>
      </c>
      <c r="J351" t="s">
        <v>27</v>
      </c>
    </row>
    <row r="352" spans="1:10">
      <c r="E352" t="s">
        <v>2176</v>
      </c>
    </row>
    <row r="353" spans="1:10">
      <c r="E353" t="s">
        <v>2177</v>
      </c>
    </row>
    <row r="354" spans="1:10">
      <c r="A354" t="s">
        <v>2178</v>
      </c>
      <c r="B354" t="s">
        <v>433</v>
      </c>
      <c r="C354" t="s">
        <v>143</v>
      </c>
      <c r="D354" t="s">
        <v>2179</v>
      </c>
      <c r="E354" t="s">
        <v>2180</v>
      </c>
      <c r="G354" t="s">
        <v>2082</v>
      </c>
      <c r="H354" t="s">
        <v>2181</v>
      </c>
      <c r="J354" t="s">
        <v>27</v>
      </c>
    </row>
    <row r="355" spans="1:10">
      <c r="E355" t="s">
        <v>2182</v>
      </c>
    </row>
    <row r="356" spans="1:10">
      <c r="E356" t="s">
        <v>2183</v>
      </c>
    </row>
    <row r="357" spans="1:10">
      <c r="A357" t="s">
        <v>2184</v>
      </c>
      <c r="B357" t="s">
        <v>433</v>
      </c>
      <c r="C357" t="s">
        <v>143</v>
      </c>
      <c r="D357" t="s">
        <v>2185</v>
      </c>
      <c r="E357" t="s">
        <v>2186</v>
      </c>
      <c r="G357" t="s">
        <v>521</v>
      </c>
      <c r="H357" t="s">
        <v>2187</v>
      </c>
      <c r="J357" t="s">
        <v>27</v>
      </c>
    </row>
    <row r="358" spans="1:10">
      <c r="E358" t="s">
        <v>2188</v>
      </c>
    </row>
    <row r="359" spans="1:10">
      <c r="E359" t="s">
        <v>2189</v>
      </c>
    </row>
    <row r="360" spans="1:10">
      <c r="E360" t="s">
        <v>2190</v>
      </c>
    </row>
    <row r="361" spans="1:10">
      <c r="A361" t="s">
        <v>2191</v>
      </c>
      <c r="B361" t="s">
        <v>433</v>
      </c>
      <c r="C361" t="s">
        <v>143</v>
      </c>
      <c r="D361" t="s">
        <v>2192</v>
      </c>
      <c r="E361" t="s">
        <v>2193</v>
      </c>
      <c r="G361" t="s">
        <v>521</v>
      </c>
      <c r="H361" t="s">
        <v>2194</v>
      </c>
      <c r="J361" t="s">
        <v>27</v>
      </c>
    </row>
    <row r="362" spans="1:10">
      <c r="E362" t="s">
        <v>1578</v>
      </c>
    </row>
    <row r="363" spans="1:10">
      <c r="E363" t="s">
        <v>2195</v>
      </c>
    </row>
    <row r="364" spans="1:10">
      <c r="E364" t="s">
        <v>2196</v>
      </c>
    </row>
    <row r="365" spans="1:10">
      <c r="A365" t="s">
        <v>2197</v>
      </c>
      <c r="B365" t="s">
        <v>433</v>
      </c>
      <c r="C365" t="s">
        <v>143</v>
      </c>
      <c r="D365" t="s">
        <v>2198</v>
      </c>
      <c r="E365" t="s">
        <v>2199</v>
      </c>
      <c r="G365" t="s">
        <v>2082</v>
      </c>
      <c r="H365" t="s">
        <v>2200</v>
      </c>
      <c r="J365" t="s">
        <v>42</v>
      </c>
    </row>
    <row r="366" spans="1:10">
      <c r="E366" t="s">
        <v>2201</v>
      </c>
    </row>
    <row r="367" spans="1:10">
      <c r="E367" t="s">
        <v>2202</v>
      </c>
    </row>
    <row r="368" spans="1:10">
      <c r="E368" t="s">
        <v>2203</v>
      </c>
    </row>
  </sheetData>
  <pageMargins left="0.75" right="0.75" top="1" bottom="1" header="0.511811023622047" footer="0.511811023622047"/>
  <headerFooter/>
  <ignoredErrors>
    <ignoredError sqref="A1:L368" numberStoredAsText="1"/>
  </ignoredError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59"/>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2204</v>
      </c>
      <c r="B2" t="s">
        <v>433</v>
      </c>
      <c r="C2" t="s">
        <v>148</v>
      </c>
      <c r="D2" t="s">
        <v>2205</v>
      </c>
      <c r="E2" t="s">
        <v>2206</v>
      </c>
      <c r="G2" t="s">
        <v>26</v>
      </c>
      <c r="H2" t="s">
        <v>2207</v>
      </c>
      <c r="J2" t="s">
        <v>27</v>
      </c>
    </row>
    <row r="3" spans="1:12">
      <c r="E3" t="s">
        <v>2208</v>
      </c>
    </row>
    <row r="4" spans="1:12">
      <c r="E4" t="s">
        <v>2209</v>
      </c>
    </row>
    <row r="5" spans="1:12">
      <c r="E5" t="s">
        <v>2210</v>
      </c>
    </row>
    <row r="6" spans="1:12">
      <c r="A6" t="s">
        <v>2211</v>
      </c>
      <c r="B6" t="s">
        <v>433</v>
      </c>
      <c r="C6" t="s">
        <v>148</v>
      </c>
      <c r="D6" t="s">
        <v>2153</v>
      </c>
      <c r="E6" t="s">
        <v>2212</v>
      </c>
      <c r="G6" t="s">
        <v>26</v>
      </c>
      <c r="H6" t="s">
        <v>2213</v>
      </c>
      <c r="J6" t="s">
        <v>27</v>
      </c>
    </row>
    <row r="7" spans="1:12">
      <c r="E7" t="s">
        <v>2156</v>
      </c>
    </row>
    <row r="8" spans="1:12">
      <c r="E8" t="s">
        <v>2214</v>
      </c>
    </row>
    <row r="9" spans="1:12">
      <c r="E9" t="s">
        <v>2158</v>
      </c>
    </row>
    <row r="10" spans="1:12">
      <c r="A10" t="s">
        <v>2215</v>
      </c>
      <c r="B10" t="s">
        <v>433</v>
      </c>
      <c r="C10" t="s">
        <v>148</v>
      </c>
      <c r="D10" t="s">
        <v>2216</v>
      </c>
      <c r="E10" t="s">
        <v>2217</v>
      </c>
      <c r="G10" t="s">
        <v>26</v>
      </c>
      <c r="H10" t="s">
        <v>2218</v>
      </c>
      <c r="J10" t="s">
        <v>42</v>
      </c>
    </row>
    <row r="11" spans="1:12">
      <c r="E11" t="s">
        <v>2219</v>
      </c>
    </row>
    <row r="12" spans="1:12">
      <c r="E12" t="s">
        <v>1871</v>
      </c>
    </row>
    <row r="13" spans="1:12">
      <c r="E13" t="s">
        <v>1872</v>
      </c>
    </row>
    <row r="14" spans="1:12">
      <c r="A14" t="s">
        <v>2220</v>
      </c>
      <c r="B14" t="s">
        <v>433</v>
      </c>
      <c r="C14" t="s">
        <v>148</v>
      </c>
      <c r="D14" t="s">
        <v>2221</v>
      </c>
      <c r="E14" t="s">
        <v>2222</v>
      </c>
      <c r="G14" t="s">
        <v>75</v>
      </c>
      <c r="H14" t="s">
        <v>2223</v>
      </c>
      <c r="J14" t="s">
        <v>27</v>
      </c>
    </row>
    <row r="15" spans="1:12">
      <c r="E15" t="s">
        <v>2224</v>
      </c>
    </row>
    <row r="16" spans="1:12">
      <c r="E16" t="s">
        <v>2225</v>
      </c>
    </row>
    <row r="17" spans="1:10">
      <c r="E17" t="s">
        <v>2226</v>
      </c>
    </row>
    <row r="18" spans="1:10">
      <c r="A18" t="s">
        <v>2227</v>
      </c>
      <c r="B18" t="s">
        <v>433</v>
      </c>
      <c r="C18" t="s">
        <v>151</v>
      </c>
      <c r="D18" t="s">
        <v>2228</v>
      </c>
      <c r="E18" t="s">
        <v>2229</v>
      </c>
      <c r="F18" t="s">
        <v>2230</v>
      </c>
      <c r="G18" t="s">
        <v>26</v>
      </c>
      <c r="H18" t="s">
        <v>2231</v>
      </c>
      <c r="J18" t="s">
        <v>27</v>
      </c>
    </row>
    <row r="19" spans="1:10">
      <c r="E19" t="s">
        <v>2232</v>
      </c>
    </row>
    <row r="20" spans="1:10">
      <c r="E20" t="s">
        <v>2233</v>
      </c>
    </row>
    <row r="21" spans="1:10">
      <c r="E21" t="s">
        <v>2234</v>
      </c>
    </row>
    <row r="22" spans="1:10">
      <c r="A22" t="s">
        <v>2235</v>
      </c>
      <c r="B22" t="s">
        <v>433</v>
      </c>
      <c r="C22" t="s">
        <v>151</v>
      </c>
      <c r="D22" t="s">
        <v>2236</v>
      </c>
      <c r="E22" t="s">
        <v>2237</v>
      </c>
      <c r="F22" t="s">
        <v>2238</v>
      </c>
      <c r="G22" t="s">
        <v>26</v>
      </c>
      <c r="H22" t="s">
        <v>2239</v>
      </c>
      <c r="J22" t="s">
        <v>27</v>
      </c>
    </row>
    <row r="23" spans="1:10">
      <c r="E23" t="s">
        <v>2240</v>
      </c>
    </row>
    <row r="24" spans="1:10">
      <c r="E24" t="s">
        <v>2241</v>
      </c>
    </row>
    <row r="25" spans="1:10">
      <c r="A25" t="s">
        <v>2242</v>
      </c>
      <c r="B25" t="s">
        <v>433</v>
      </c>
      <c r="C25" t="s">
        <v>151</v>
      </c>
      <c r="D25" t="s">
        <v>2243</v>
      </c>
      <c r="E25" t="s">
        <v>2244</v>
      </c>
      <c r="G25" t="s">
        <v>26</v>
      </c>
      <c r="H25" t="s">
        <v>2245</v>
      </c>
      <c r="J25" t="s">
        <v>42</v>
      </c>
    </row>
    <row r="26" spans="1:10">
      <c r="E26" t="s">
        <v>2246</v>
      </c>
    </row>
    <row r="27" spans="1:10">
      <c r="E27" t="s">
        <v>2247</v>
      </c>
    </row>
    <row r="28" spans="1:10">
      <c r="A28" t="s">
        <v>2248</v>
      </c>
      <c r="B28" t="s">
        <v>433</v>
      </c>
      <c r="C28" t="s">
        <v>151</v>
      </c>
      <c r="D28" t="s">
        <v>2249</v>
      </c>
      <c r="E28" t="s">
        <v>2250</v>
      </c>
      <c r="F28" t="s">
        <v>2251</v>
      </c>
      <c r="G28" t="s">
        <v>26</v>
      </c>
      <c r="H28" t="s">
        <v>2252</v>
      </c>
      <c r="J28" t="s">
        <v>27</v>
      </c>
    </row>
    <row r="29" spans="1:10">
      <c r="E29" t="s">
        <v>2253</v>
      </c>
    </row>
    <row r="30" spans="1:10">
      <c r="E30" t="s">
        <v>1926</v>
      </c>
    </row>
    <row r="31" spans="1:10">
      <c r="E31" t="s">
        <v>1927</v>
      </c>
    </row>
    <row r="32" spans="1:10">
      <c r="A32" t="s">
        <v>2254</v>
      </c>
      <c r="B32" t="s">
        <v>433</v>
      </c>
      <c r="C32" t="s">
        <v>151</v>
      </c>
      <c r="D32" t="s">
        <v>2255</v>
      </c>
      <c r="E32" t="s">
        <v>2256</v>
      </c>
      <c r="F32" t="s">
        <v>2257</v>
      </c>
      <c r="G32" t="s">
        <v>26</v>
      </c>
      <c r="H32" t="s">
        <v>2258</v>
      </c>
      <c r="J32" t="s">
        <v>42</v>
      </c>
    </row>
    <row r="33" spans="1:10">
      <c r="E33" t="s">
        <v>2259</v>
      </c>
    </row>
    <row r="34" spans="1:10">
      <c r="E34" t="s">
        <v>2260</v>
      </c>
    </row>
    <row r="35" spans="1:10">
      <c r="A35" t="s">
        <v>2261</v>
      </c>
      <c r="B35" t="s">
        <v>433</v>
      </c>
      <c r="C35" t="s">
        <v>151</v>
      </c>
      <c r="D35" t="s">
        <v>2262</v>
      </c>
      <c r="E35" t="s">
        <v>2263</v>
      </c>
      <c r="F35" t="s">
        <v>2264</v>
      </c>
      <c r="G35" t="s">
        <v>26</v>
      </c>
      <c r="H35" t="s">
        <v>2265</v>
      </c>
      <c r="J35" t="s">
        <v>42</v>
      </c>
    </row>
    <row r="36" spans="1:10">
      <c r="E36" t="s">
        <v>2105</v>
      </c>
    </row>
    <row r="37" spans="1:10">
      <c r="E37" t="s">
        <v>2260</v>
      </c>
    </row>
    <row r="38" spans="1:10">
      <c r="A38" t="s">
        <v>2266</v>
      </c>
      <c r="B38" t="s">
        <v>433</v>
      </c>
      <c r="C38" t="s">
        <v>151</v>
      </c>
      <c r="D38" t="s">
        <v>2267</v>
      </c>
      <c r="E38" t="s">
        <v>2268</v>
      </c>
      <c r="G38" t="s">
        <v>521</v>
      </c>
      <c r="H38" t="s">
        <v>2269</v>
      </c>
      <c r="J38" t="s">
        <v>42</v>
      </c>
    </row>
    <row r="39" spans="1:10">
      <c r="E39" t="s">
        <v>2270</v>
      </c>
    </row>
    <row r="40" spans="1:10">
      <c r="E40" t="s">
        <v>2271</v>
      </c>
    </row>
    <row r="41" spans="1:10">
      <c r="A41" t="s">
        <v>2272</v>
      </c>
      <c r="B41" t="s">
        <v>433</v>
      </c>
      <c r="C41" t="s">
        <v>154</v>
      </c>
      <c r="D41" t="s">
        <v>2273</v>
      </c>
      <c r="E41" t="s">
        <v>2274</v>
      </c>
      <c r="G41" t="s">
        <v>26</v>
      </c>
      <c r="H41" t="s">
        <v>2275</v>
      </c>
      <c r="J41" t="s">
        <v>27</v>
      </c>
    </row>
    <row r="42" spans="1:10">
      <c r="E42" t="s">
        <v>2276</v>
      </c>
    </row>
    <row r="43" spans="1:10">
      <c r="E43" t="s">
        <v>2277</v>
      </c>
    </row>
    <row r="44" spans="1:10">
      <c r="E44" t="s">
        <v>2278</v>
      </c>
    </row>
    <row r="45" spans="1:10">
      <c r="E45" t="s">
        <v>2279</v>
      </c>
    </row>
    <row r="46" spans="1:10">
      <c r="A46" t="s">
        <v>2280</v>
      </c>
      <c r="B46" t="s">
        <v>433</v>
      </c>
      <c r="C46" t="s">
        <v>154</v>
      </c>
      <c r="D46" t="s">
        <v>2281</v>
      </c>
      <c r="E46" t="s">
        <v>2282</v>
      </c>
      <c r="G46" t="s">
        <v>26</v>
      </c>
      <c r="H46" t="s">
        <v>2283</v>
      </c>
      <c r="J46" t="s">
        <v>27</v>
      </c>
    </row>
    <row r="47" spans="1:10">
      <c r="E47" t="s">
        <v>2276</v>
      </c>
    </row>
    <row r="48" spans="1:10">
      <c r="E48" t="s">
        <v>2284</v>
      </c>
    </row>
    <row r="49" spans="1:10">
      <c r="E49" t="s">
        <v>2278</v>
      </c>
    </row>
    <row r="50" spans="1:10">
      <c r="E50" t="s">
        <v>2285</v>
      </c>
    </row>
    <row r="51" spans="1:10">
      <c r="A51" t="s">
        <v>2286</v>
      </c>
      <c r="B51" t="s">
        <v>433</v>
      </c>
      <c r="C51" t="s">
        <v>154</v>
      </c>
      <c r="D51" t="s">
        <v>2287</v>
      </c>
      <c r="E51" t="s">
        <v>2288</v>
      </c>
      <c r="G51" t="s">
        <v>26</v>
      </c>
      <c r="H51" t="s">
        <v>2289</v>
      </c>
      <c r="J51" t="s">
        <v>27</v>
      </c>
    </row>
    <row r="52" spans="1:10">
      <c r="E52" t="s">
        <v>2290</v>
      </c>
    </row>
    <row r="53" spans="1:10">
      <c r="E53" t="s">
        <v>2291</v>
      </c>
    </row>
    <row r="54" spans="1:10">
      <c r="E54" t="s">
        <v>2292</v>
      </c>
    </row>
    <row r="55" spans="1:10">
      <c r="E55" t="s">
        <v>2293</v>
      </c>
    </row>
    <row r="56" spans="1:10">
      <c r="A56" t="s">
        <v>2294</v>
      </c>
      <c r="B56" t="s">
        <v>433</v>
      </c>
      <c r="C56" t="s">
        <v>154</v>
      </c>
      <c r="D56" t="s">
        <v>2295</v>
      </c>
      <c r="E56" t="s">
        <v>2296</v>
      </c>
      <c r="G56" t="s">
        <v>26</v>
      </c>
      <c r="H56" t="s">
        <v>2297</v>
      </c>
      <c r="J56" t="s">
        <v>27</v>
      </c>
    </row>
    <row r="57" spans="1:10">
      <c r="E57" t="s">
        <v>2298</v>
      </c>
    </row>
    <row r="58" spans="1:10">
      <c r="E58" t="s">
        <v>2299</v>
      </c>
    </row>
    <row r="59" spans="1:10">
      <c r="E59" t="s">
        <v>2300</v>
      </c>
    </row>
    <row r="60" spans="1:10">
      <c r="E60" t="s">
        <v>2301</v>
      </c>
    </row>
    <row r="61" spans="1:10">
      <c r="A61" t="s">
        <v>2302</v>
      </c>
      <c r="B61" t="s">
        <v>433</v>
      </c>
      <c r="C61" t="s">
        <v>154</v>
      </c>
      <c r="D61" t="s">
        <v>2303</v>
      </c>
      <c r="E61" t="s">
        <v>2304</v>
      </c>
      <c r="G61" t="s">
        <v>26</v>
      </c>
      <c r="H61" t="s">
        <v>2305</v>
      </c>
      <c r="J61" t="s">
        <v>42</v>
      </c>
    </row>
    <row r="62" spans="1:10">
      <c r="E62" t="s">
        <v>2306</v>
      </c>
    </row>
    <row r="63" spans="1:10">
      <c r="E63" t="s">
        <v>2307</v>
      </c>
    </row>
    <row r="64" spans="1:10">
      <c r="E64" t="s">
        <v>2292</v>
      </c>
    </row>
    <row r="65" spans="1:10">
      <c r="E65" t="s">
        <v>2308</v>
      </c>
    </row>
    <row r="66" spans="1:10">
      <c r="A66" t="s">
        <v>2309</v>
      </c>
      <c r="B66" t="s">
        <v>433</v>
      </c>
      <c r="C66" t="s">
        <v>154</v>
      </c>
      <c r="D66" t="s">
        <v>2310</v>
      </c>
      <c r="E66" t="s">
        <v>2311</v>
      </c>
      <c r="G66" t="s">
        <v>521</v>
      </c>
      <c r="H66" t="s">
        <v>2312</v>
      </c>
      <c r="J66" t="s">
        <v>42</v>
      </c>
    </row>
    <row r="67" spans="1:10">
      <c r="E67" t="s">
        <v>2313</v>
      </c>
    </row>
    <row r="68" spans="1:10">
      <c r="E68" t="s">
        <v>2292</v>
      </c>
    </row>
    <row r="69" spans="1:10">
      <c r="E69" t="s">
        <v>2314</v>
      </c>
    </row>
    <row r="70" spans="1:10">
      <c r="A70" t="s">
        <v>2315</v>
      </c>
      <c r="B70" t="s">
        <v>433</v>
      </c>
      <c r="C70" t="s">
        <v>154</v>
      </c>
      <c r="D70" t="s">
        <v>2316</v>
      </c>
      <c r="E70" t="s">
        <v>2317</v>
      </c>
      <c r="G70" t="s">
        <v>521</v>
      </c>
      <c r="H70" t="s">
        <v>2318</v>
      </c>
      <c r="J70" t="s">
        <v>27</v>
      </c>
    </row>
    <row r="71" spans="1:10">
      <c r="E71" t="s">
        <v>2319</v>
      </c>
    </row>
    <row r="72" spans="1:10">
      <c r="E72" t="s">
        <v>2292</v>
      </c>
    </row>
    <row r="73" spans="1:10">
      <c r="E73" t="s">
        <v>2320</v>
      </c>
    </row>
    <row r="74" spans="1:10">
      <c r="A74" t="s">
        <v>2321</v>
      </c>
      <c r="B74" t="s">
        <v>433</v>
      </c>
      <c r="C74" t="s">
        <v>157</v>
      </c>
      <c r="D74" t="s">
        <v>2322</v>
      </c>
      <c r="E74" t="s">
        <v>2323</v>
      </c>
      <c r="G74" t="s">
        <v>26</v>
      </c>
      <c r="H74" t="s">
        <v>2324</v>
      </c>
      <c r="J74" t="s">
        <v>27</v>
      </c>
    </row>
    <row r="75" spans="1:10">
      <c r="E75" t="s">
        <v>1972</v>
      </c>
    </row>
    <row r="76" spans="1:10">
      <c r="E76" t="s">
        <v>2325</v>
      </c>
    </row>
    <row r="77" spans="1:10">
      <c r="A77" t="s">
        <v>2326</v>
      </c>
      <c r="B77" t="s">
        <v>433</v>
      </c>
      <c r="C77" t="s">
        <v>157</v>
      </c>
      <c r="D77" t="s">
        <v>2327</v>
      </c>
      <c r="E77" t="s">
        <v>1792</v>
      </c>
      <c r="G77" t="s">
        <v>26</v>
      </c>
      <c r="H77" t="s">
        <v>2328</v>
      </c>
      <c r="J77" t="s">
        <v>42</v>
      </c>
    </row>
    <row r="78" spans="1:10">
      <c r="E78" t="s">
        <v>1978</v>
      </c>
    </row>
    <row r="79" spans="1:10">
      <c r="E79" t="s">
        <v>1979</v>
      </c>
    </row>
    <row r="80" spans="1:10">
      <c r="A80" t="s">
        <v>2329</v>
      </c>
      <c r="B80" t="s">
        <v>433</v>
      </c>
      <c r="C80" t="s">
        <v>157</v>
      </c>
      <c r="D80" t="s">
        <v>2330</v>
      </c>
      <c r="E80" t="s">
        <v>2331</v>
      </c>
      <c r="G80" t="s">
        <v>521</v>
      </c>
      <c r="H80" t="s">
        <v>2332</v>
      </c>
      <c r="J80" t="s">
        <v>464</v>
      </c>
    </row>
    <row r="81" spans="1:10">
      <c r="E81" t="s">
        <v>2333</v>
      </c>
    </row>
    <row r="82" spans="1:10">
      <c r="E82" t="s">
        <v>2334</v>
      </c>
    </row>
    <row r="83" spans="1:10">
      <c r="A83" t="s">
        <v>2335</v>
      </c>
      <c r="B83" t="s">
        <v>433</v>
      </c>
      <c r="C83" t="s">
        <v>160</v>
      </c>
      <c r="D83" t="s">
        <v>2336</v>
      </c>
      <c r="E83" t="s">
        <v>2337</v>
      </c>
      <c r="F83" t="s">
        <v>2338</v>
      </c>
      <c r="G83" t="s">
        <v>26</v>
      </c>
      <c r="H83" t="s">
        <v>2339</v>
      </c>
      <c r="J83" t="s">
        <v>27</v>
      </c>
    </row>
    <row r="84" spans="1:10">
      <c r="E84" t="s">
        <v>2340</v>
      </c>
    </row>
    <row r="85" spans="1:10">
      <c r="E85" t="s">
        <v>2341</v>
      </c>
    </row>
    <row r="86" spans="1:10">
      <c r="E86" t="s">
        <v>2342</v>
      </c>
    </row>
    <row r="87" spans="1:10">
      <c r="E87" t="s">
        <v>1776</v>
      </c>
    </row>
    <row r="88" spans="1:10">
      <c r="A88" t="s">
        <v>2343</v>
      </c>
      <c r="B88" t="s">
        <v>433</v>
      </c>
      <c r="C88" t="s">
        <v>160</v>
      </c>
      <c r="D88" t="s">
        <v>2344</v>
      </c>
      <c r="E88" t="s">
        <v>2345</v>
      </c>
      <c r="G88" t="s">
        <v>26</v>
      </c>
      <c r="H88" t="s">
        <v>2346</v>
      </c>
      <c r="J88" t="s">
        <v>42</v>
      </c>
    </row>
    <row r="89" spans="1:10">
      <c r="E89" t="s">
        <v>2347</v>
      </c>
    </row>
    <row r="90" spans="1:10">
      <c r="E90" t="s">
        <v>2348</v>
      </c>
    </row>
    <row r="91" spans="1:10">
      <c r="E91" t="s">
        <v>2349</v>
      </c>
    </row>
    <row r="92" spans="1:10">
      <c r="A92" t="s">
        <v>2350</v>
      </c>
      <c r="B92" t="s">
        <v>433</v>
      </c>
      <c r="C92" t="s">
        <v>160</v>
      </c>
      <c r="D92" t="s">
        <v>2351</v>
      </c>
      <c r="E92" t="s">
        <v>2345</v>
      </c>
      <c r="G92" t="s">
        <v>26</v>
      </c>
      <c r="H92" t="s">
        <v>2346</v>
      </c>
      <c r="J92" t="s">
        <v>42</v>
      </c>
    </row>
    <row r="93" spans="1:10">
      <c r="E93" t="s">
        <v>2347</v>
      </c>
    </row>
    <row r="94" spans="1:10">
      <c r="E94" t="s">
        <v>2348</v>
      </c>
    </row>
    <row r="95" spans="1:10">
      <c r="E95" t="s">
        <v>2349</v>
      </c>
    </row>
    <row r="96" spans="1:10">
      <c r="A96" t="s">
        <v>2352</v>
      </c>
      <c r="B96" t="s">
        <v>433</v>
      </c>
      <c r="C96" t="s">
        <v>160</v>
      </c>
      <c r="D96" t="s">
        <v>2353</v>
      </c>
      <c r="E96" t="s">
        <v>2354</v>
      </c>
      <c r="G96" t="s">
        <v>26</v>
      </c>
      <c r="H96" t="s">
        <v>2355</v>
      </c>
      <c r="J96" t="s">
        <v>42</v>
      </c>
    </row>
    <row r="97" spans="1:10">
      <c r="E97" t="s">
        <v>2356</v>
      </c>
    </row>
    <row r="98" spans="1:10">
      <c r="A98" t="s">
        <v>2357</v>
      </c>
      <c r="B98" t="s">
        <v>433</v>
      </c>
      <c r="C98" t="s">
        <v>160</v>
      </c>
      <c r="D98" t="s">
        <v>2358</v>
      </c>
      <c r="E98" t="s">
        <v>2359</v>
      </c>
      <c r="G98" t="s">
        <v>26</v>
      </c>
      <c r="H98" t="s">
        <v>2360</v>
      </c>
      <c r="J98" t="s">
        <v>42</v>
      </c>
    </row>
    <row r="99" spans="1:10">
      <c r="E99" t="s">
        <v>2356</v>
      </c>
    </row>
    <row r="100" spans="1:10">
      <c r="A100" t="s">
        <v>2361</v>
      </c>
      <c r="B100" t="s">
        <v>433</v>
      </c>
      <c r="C100" t="s">
        <v>163</v>
      </c>
      <c r="D100" t="s">
        <v>2362</v>
      </c>
      <c r="E100" t="s">
        <v>2363</v>
      </c>
      <c r="G100" t="s">
        <v>26</v>
      </c>
      <c r="H100" t="s">
        <v>2364</v>
      </c>
      <c r="J100" t="s">
        <v>27</v>
      </c>
    </row>
    <row r="101" spans="1:10">
      <c r="E101" t="s">
        <v>2365</v>
      </c>
    </row>
    <row r="102" spans="1:10">
      <c r="E102" t="s">
        <v>2366</v>
      </c>
    </row>
    <row r="103" spans="1:10">
      <c r="A103" t="s">
        <v>2367</v>
      </c>
      <c r="B103" t="s">
        <v>433</v>
      </c>
      <c r="C103" t="s">
        <v>163</v>
      </c>
      <c r="D103" t="s">
        <v>2368</v>
      </c>
      <c r="E103" t="s">
        <v>2369</v>
      </c>
      <c r="G103" t="s">
        <v>26</v>
      </c>
      <c r="H103" t="s">
        <v>2370</v>
      </c>
      <c r="J103" t="s">
        <v>27</v>
      </c>
    </row>
    <row r="104" spans="1:10">
      <c r="E104" t="s">
        <v>2371</v>
      </c>
    </row>
    <row r="105" spans="1:10">
      <c r="E105" t="s">
        <v>2372</v>
      </c>
    </row>
    <row r="106" spans="1:10">
      <c r="E106" t="s">
        <v>2373</v>
      </c>
    </row>
    <row r="107" spans="1:10">
      <c r="A107" t="s">
        <v>2374</v>
      </c>
      <c r="B107" t="s">
        <v>433</v>
      </c>
      <c r="C107" t="s">
        <v>163</v>
      </c>
      <c r="D107" t="s">
        <v>2375</v>
      </c>
      <c r="E107" t="s">
        <v>2376</v>
      </c>
      <c r="G107" t="s">
        <v>26</v>
      </c>
      <c r="H107" t="s">
        <v>2377</v>
      </c>
      <c r="J107" t="s">
        <v>42</v>
      </c>
    </row>
    <row r="108" spans="1:10">
      <c r="E108" t="s">
        <v>2056</v>
      </c>
    </row>
    <row r="109" spans="1:10">
      <c r="E109" t="s">
        <v>2378</v>
      </c>
    </row>
    <row r="110" spans="1:10">
      <c r="A110" t="s">
        <v>2379</v>
      </c>
      <c r="B110" t="s">
        <v>433</v>
      </c>
      <c r="C110" t="s">
        <v>163</v>
      </c>
      <c r="D110" t="s">
        <v>2380</v>
      </c>
      <c r="E110" t="s">
        <v>2381</v>
      </c>
      <c r="G110" t="s">
        <v>26</v>
      </c>
      <c r="H110" t="s">
        <v>2382</v>
      </c>
      <c r="J110" t="s">
        <v>42</v>
      </c>
    </row>
    <row r="111" spans="1:10">
      <c r="E111" t="s">
        <v>2383</v>
      </c>
    </row>
    <row r="112" spans="1:10">
      <c r="E112" t="s">
        <v>2292</v>
      </c>
    </row>
    <row r="113" spans="1:10">
      <c r="E113" t="s">
        <v>2384</v>
      </c>
    </row>
    <row r="114" spans="1:10">
      <c r="A114" t="s">
        <v>2385</v>
      </c>
      <c r="B114" t="s">
        <v>433</v>
      </c>
      <c r="C114" t="s">
        <v>163</v>
      </c>
      <c r="D114" t="s">
        <v>2386</v>
      </c>
      <c r="E114" t="s">
        <v>2387</v>
      </c>
      <c r="G114" t="s">
        <v>26</v>
      </c>
      <c r="H114" t="s">
        <v>2388</v>
      </c>
      <c r="J114" t="s">
        <v>464</v>
      </c>
    </row>
    <row r="115" spans="1:10">
      <c r="E115" t="s">
        <v>2389</v>
      </c>
    </row>
    <row r="116" spans="1:10">
      <c r="E116" t="s">
        <v>2390</v>
      </c>
    </row>
    <row r="117" spans="1:10">
      <c r="A117" t="s">
        <v>2391</v>
      </c>
      <c r="B117" t="s">
        <v>433</v>
      </c>
      <c r="C117" t="s">
        <v>166</v>
      </c>
      <c r="D117" t="s">
        <v>2392</v>
      </c>
      <c r="E117" t="s">
        <v>2393</v>
      </c>
      <c r="G117" t="s">
        <v>26</v>
      </c>
      <c r="H117" t="s">
        <v>2394</v>
      </c>
      <c r="J117" t="s">
        <v>27</v>
      </c>
    </row>
    <row r="118" spans="1:10">
      <c r="E118" t="s">
        <v>2395</v>
      </c>
    </row>
    <row r="119" spans="1:10">
      <c r="E119" t="s">
        <v>2396</v>
      </c>
    </row>
    <row r="120" spans="1:10">
      <c r="A120" t="s">
        <v>2397</v>
      </c>
      <c r="B120" t="s">
        <v>433</v>
      </c>
      <c r="C120" t="s">
        <v>166</v>
      </c>
      <c r="D120" t="s">
        <v>2398</v>
      </c>
      <c r="E120" t="s">
        <v>2399</v>
      </c>
      <c r="G120" t="s">
        <v>521</v>
      </c>
      <c r="H120" t="s">
        <v>2400</v>
      </c>
      <c r="J120" t="s">
        <v>27</v>
      </c>
    </row>
    <row r="121" spans="1:10">
      <c r="E121" t="s">
        <v>2401</v>
      </c>
    </row>
    <row r="122" spans="1:10">
      <c r="E122" t="s">
        <v>2292</v>
      </c>
    </row>
    <row r="123" spans="1:10">
      <c r="E123" t="s">
        <v>2402</v>
      </c>
    </row>
    <row r="124" spans="1:10">
      <c r="A124" t="s">
        <v>2403</v>
      </c>
      <c r="B124" t="s">
        <v>433</v>
      </c>
      <c r="C124" t="s">
        <v>166</v>
      </c>
      <c r="D124" t="s">
        <v>2404</v>
      </c>
      <c r="E124" t="s">
        <v>2405</v>
      </c>
      <c r="F124" t="s">
        <v>2406</v>
      </c>
      <c r="G124" t="s">
        <v>26</v>
      </c>
      <c r="H124" t="s">
        <v>2407</v>
      </c>
      <c r="J124" t="s">
        <v>42</v>
      </c>
    </row>
    <row r="125" spans="1:10">
      <c r="E125" t="s">
        <v>2408</v>
      </c>
    </row>
    <row r="126" spans="1:10">
      <c r="E126" t="s">
        <v>2409</v>
      </c>
    </row>
    <row r="127" spans="1:10">
      <c r="A127" t="s">
        <v>2410</v>
      </c>
      <c r="B127" t="s">
        <v>433</v>
      </c>
      <c r="C127" t="s">
        <v>166</v>
      </c>
      <c r="D127" t="s">
        <v>2411</v>
      </c>
      <c r="E127" t="s">
        <v>2412</v>
      </c>
      <c r="F127" t="s">
        <v>2413</v>
      </c>
      <c r="G127" t="s">
        <v>26</v>
      </c>
      <c r="H127" t="s">
        <v>2414</v>
      </c>
      <c r="J127" t="s">
        <v>42</v>
      </c>
    </row>
    <row r="128" spans="1:10">
      <c r="E128" t="s">
        <v>2415</v>
      </c>
    </row>
    <row r="129" spans="1:10">
      <c r="E129" t="s">
        <v>2409</v>
      </c>
    </row>
    <row r="130" spans="1:10">
      <c r="A130" t="s">
        <v>2416</v>
      </c>
      <c r="B130" t="s">
        <v>433</v>
      </c>
      <c r="C130" t="s">
        <v>169</v>
      </c>
      <c r="D130" t="s">
        <v>2417</v>
      </c>
      <c r="E130" t="s">
        <v>2418</v>
      </c>
      <c r="F130" t="s">
        <v>2419</v>
      </c>
      <c r="G130" t="s">
        <v>26</v>
      </c>
      <c r="H130" t="s">
        <v>2420</v>
      </c>
      <c r="J130" t="s">
        <v>27</v>
      </c>
    </row>
    <row r="131" spans="1:10">
      <c r="E131" t="s">
        <v>2421</v>
      </c>
    </row>
    <row r="132" spans="1:10">
      <c r="E132" t="s">
        <v>2422</v>
      </c>
    </row>
    <row r="133" spans="1:10">
      <c r="A133" t="s">
        <v>2423</v>
      </c>
      <c r="B133" t="s">
        <v>433</v>
      </c>
      <c r="C133" t="s">
        <v>169</v>
      </c>
      <c r="D133" t="s">
        <v>2424</v>
      </c>
      <c r="E133" t="s">
        <v>2425</v>
      </c>
      <c r="F133" t="s">
        <v>2426</v>
      </c>
      <c r="G133" t="s">
        <v>26</v>
      </c>
      <c r="H133" t="s">
        <v>2427</v>
      </c>
      <c r="J133" t="s">
        <v>27</v>
      </c>
    </row>
    <row r="134" spans="1:10">
      <c r="E134" t="s">
        <v>2428</v>
      </c>
    </row>
    <row r="135" spans="1:10">
      <c r="E135" t="s">
        <v>2429</v>
      </c>
    </row>
    <row r="136" spans="1:10">
      <c r="A136" t="s">
        <v>2430</v>
      </c>
      <c r="B136" t="s">
        <v>433</v>
      </c>
      <c r="C136" t="s">
        <v>169</v>
      </c>
      <c r="D136" t="s">
        <v>2431</v>
      </c>
      <c r="E136" t="s">
        <v>2432</v>
      </c>
      <c r="G136" t="s">
        <v>26</v>
      </c>
      <c r="H136" t="s">
        <v>2433</v>
      </c>
      <c r="J136" t="s">
        <v>42</v>
      </c>
    </row>
    <row r="137" spans="1:10">
      <c r="E137" t="s">
        <v>2434</v>
      </c>
    </row>
    <row r="138" spans="1:10">
      <c r="E138" t="s">
        <v>2435</v>
      </c>
    </row>
    <row r="139" spans="1:10">
      <c r="A139" t="s">
        <v>2436</v>
      </c>
      <c r="B139" t="s">
        <v>433</v>
      </c>
      <c r="C139" t="s">
        <v>169</v>
      </c>
      <c r="D139" t="s">
        <v>2437</v>
      </c>
      <c r="E139" t="s">
        <v>2438</v>
      </c>
      <c r="G139" t="s">
        <v>26</v>
      </c>
      <c r="H139" t="s">
        <v>2439</v>
      </c>
      <c r="J139" t="s">
        <v>27</v>
      </c>
    </row>
    <row r="140" spans="1:10">
      <c r="E140" t="s">
        <v>2440</v>
      </c>
    </row>
    <row r="141" spans="1:10">
      <c r="E141" t="s">
        <v>2441</v>
      </c>
    </row>
    <row r="142" spans="1:10">
      <c r="E142" t="s">
        <v>2442</v>
      </c>
    </row>
    <row r="143" spans="1:10">
      <c r="E143" t="s">
        <v>2443</v>
      </c>
    </row>
    <row r="144" spans="1:10">
      <c r="A144" t="s">
        <v>2444</v>
      </c>
      <c r="B144" t="s">
        <v>433</v>
      </c>
      <c r="C144" t="s">
        <v>172</v>
      </c>
      <c r="D144" t="s">
        <v>2445</v>
      </c>
      <c r="E144" t="s">
        <v>2446</v>
      </c>
      <c r="G144" t="s">
        <v>26</v>
      </c>
      <c r="H144" t="s">
        <v>2447</v>
      </c>
      <c r="J144" t="s">
        <v>42</v>
      </c>
    </row>
    <row r="145" spans="1:10">
      <c r="E145" t="s">
        <v>2448</v>
      </c>
    </row>
    <row r="146" spans="1:10">
      <c r="E146" t="s">
        <v>2449</v>
      </c>
    </row>
    <row r="147" spans="1:10">
      <c r="A147" t="s">
        <v>2450</v>
      </c>
      <c r="B147" t="s">
        <v>433</v>
      </c>
      <c r="C147" t="s">
        <v>172</v>
      </c>
      <c r="D147" t="s">
        <v>2451</v>
      </c>
      <c r="E147" t="s">
        <v>2446</v>
      </c>
      <c r="G147" t="s">
        <v>26</v>
      </c>
      <c r="H147" t="s">
        <v>2452</v>
      </c>
      <c r="J147" t="s">
        <v>42</v>
      </c>
    </row>
    <row r="148" spans="1:10">
      <c r="E148" t="s">
        <v>2453</v>
      </c>
    </row>
    <row r="149" spans="1:10">
      <c r="E149" t="s">
        <v>2454</v>
      </c>
    </row>
    <row r="150" spans="1:10">
      <c r="A150" t="s">
        <v>2455</v>
      </c>
      <c r="B150" t="s">
        <v>433</v>
      </c>
      <c r="C150" t="s">
        <v>172</v>
      </c>
      <c r="D150" t="s">
        <v>2456</v>
      </c>
      <c r="E150" t="s">
        <v>2446</v>
      </c>
      <c r="G150" t="s">
        <v>26</v>
      </c>
      <c r="H150" t="s">
        <v>2457</v>
      </c>
      <c r="J150" t="s">
        <v>42</v>
      </c>
    </row>
    <row r="151" spans="1:10">
      <c r="E151" t="s">
        <v>2458</v>
      </c>
    </row>
    <row r="152" spans="1:10">
      <c r="E152" t="s">
        <v>2459</v>
      </c>
    </row>
    <row r="153" spans="1:10">
      <c r="A153" t="s">
        <v>2460</v>
      </c>
      <c r="B153" t="s">
        <v>433</v>
      </c>
      <c r="C153" t="s">
        <v>172</v>
      </c>
      <c r="D153" t="s">
        <v>2461</v>
      </c>
      <c r="E153" t="s">
        <v>2462</v>
      </c>
      <c r="G153" t="s">
        <v>75</v>
      </c>
      <c r="H153" t="s">
        <v>2463</v>
      </c>
      <c r="J153" t="s">
        <v>27</v>
      </c>
    </row>
    <row r="154" spans="1:10">
      <c r="E154" t="s">
        <v>2464</v>
      </c>
    </row>
    <row r="155" spans="1:10">
      <c r="E155" t="s">
        <v>2465</v>
      </c>
    </row>
    <row r="156" spans="1:10">
      <c r="A156" t="s">
        <v>2466</v>
      </c>
      <c r="B156" t="s">
        <v>433</v>
      </c>
      <c r="C156" t="s">
        <v>172</v>
      </c>
      <c r="D156" t="s">
        <v>2467</v>
      </c>
      <c r="E156" t="s">
        <v>2468</v>
      </c>
      <c r="F156" t="s">
        <v>2469</v>
      </c>
      <c r="G156" t="s">
        <v>26</v>
      </c>
      <c r="H156" t="s">
        <v>2470</v>
      </c>
      <c r="J156" t="s">
        <v>42</v>
      </c>
    </row>
    <row r="157" spans="1:10">
      <c r="E157" t="s">
        <v>2471</v>
      </c>
    </row>
    <row r="158" spans="1:10">
      <c r="E158" t="s">
        <v>2472</v>
      </c>
    </row>
    <row r="159" spans="1:10">
      <c r="E159" t="s">
        <v>2473</v>
      </c>
    </row>
  </sheetData>
  <pageMargins left="0.75" right="0.75" top="1" bottom="1" header="0.511811023622047" footer="0.511811023622047"/>
  <headerFooter/>
  <ignoredErrors>
    <ignoredError sqref="A1:L159" numberStoredAsText="1"/>
  </ignoredError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5"/>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2474</v>
      </c>
      <c r="B2" t="s">
        <v>433</v>
      </c>
      <c r="C2" t="s">
        <v>176</v>
      </c>
      <c r="D2" t="s">
        <v>2475</v>
      </c>
      <c r="E2" t="s">
        <v>2476</v>
      </c>
      <c r="G2" t="s">
        <v>26</v>
      </c>
      <c r="H2" t="s">
        <v>2477</v>
      </c>
      <c r="J2" t="s">
        <v>27</v>
      </c>
    </row>
    <row r="3" spans="1:12">
      <c r="E3" t="s">
        <v>2478</v>
      </c>
    </row>
    <row r="4" spans="1:12">
      <c r="E4" t="s">
        <v>1250</v>
      </c>
    </row>
    <row r="5" spans="1:12">
      <c r="A5" t="s">
        <v>2479</v>
      </c>
      <c r="B5" t="s">
        <v>433</v>
      </c>
      <c r="C5" t="s">
        <v>176</v>
      </c>
      <c r="D5" t="s">
        <v>2480</v>
      </c>
      <c r="E5" t="s">
        <v>2481</v>
      </c>
      <c r="G5" t="s">
        <v>26</v>
      </c>
      <c r="H5" t="s">
        <v>2482</v>
      </c>
      <c r="J5" t="s">
        <v>464</v>
      </c>
    </row>
    <row r="6" spans="1:12">
      <c r="E6" t="s">
        <v>2483</v>
      </c>
    </row>
    <row r="7" spans="1:12">
      <c r="A7" t="s">
        <v>2484</v>
      </c>
      <c r="B7" t="s">
        <v>433</v>
      </c>
      <c r="C7" t="s">
        <v>176</v>
      </c>
      <c r="D7" t="s">
        <v>2485</v>
      </c>
      <c r="E7" t="s">
        <v>2486</v>
      </c>
      <c r="F7" t="s">
        <v>2487</v>
      </c>
      <c r="G7" t="s">
        <v>26</v>
      </c>
      <c r="H7" t="s">
        <v>2488</v>
      </c>
      <c r="J7" t="s">
        <v>27</v>
      </c>
    </row>
    <row r="8" spans="1:12">
      <c r="E8" t="s">
        <v>2489</v>
      </c>
    </row>
    <row r="9" spans="1:12">
      <c r="E9" t="s">
        <v>2490</v>
      </c>
    </row>
    <row r="10" spans="1:12">
      <c r="E10" t="s">
        <v>1262</v>
      </c>
    </row>
    <row r="11" spans="1:12">
      <c r="A11" t="s">
        <v>2491</v>
      </c>
      <c r="B11" t="s">
        <v>433</v>
      </c>
      <c r="C11" t="s">
        <v>176</v>
      </c>
      <c r="D11" t="s">
        <v>2492</v>
      </c>
      <c r="E11" t="s">
        <v>2481</v>
      </c>
      <c r="F11" t="s">
        <v>2493</v>
      </c>
      <c r="G11" t="s">
        <v>521</v>
      </c>
      <c r="H11" t="s">
        <v>2494</v>
      </c>
      <c r="J11" t="s">
        <v>42</v>
      </c>
    </row>
    <row r="12" spans="1:12">
      <c r="E12" t="s">
        <v>2495</v>
      </c>
    </row>
    <row r="13" spans="1:12">
      <c r="E13" t="s">
        <v>1262</v>
      </c>
    </row>
    <row r="14" spans="1:12">
      <c r="A14" t="s">
        <v>2496</v>
      </c>
      <c r="B14" t="s">
        <v>433</v>
      </c>
      <c r="C14" t="s">
        <v>176</v>
      </c>
      <c r="D14" t="s">
        <v>1275</v>
      </c>
      <c r="E14" t="s">
        <v>2481</v>
      </c>
      <c r="F14" t="s">
        <v>1276</v>
      </c>
      <c r="G14" t="s">
        <v>75</v>
      </c>
      <c r="H14" t="s">
        <v>1277</v>
      </c>
      <c r="J14" t="s">
        <v>27</v>
      </c>
    </row>
    <row r="15" spans="1:12">
      <c r="E15" t="s">
        <v>1278</v>
      </c>
    </row>
    <row r="16" spans="1:12">
      <c r="E16" t="s">
        <v>1279</v>
      </c>
    </row>
    <row r="17" spans="1:10">
      <c r="A17" t="s">
        <v>2497</v>
      </c>
      <c r="B17" t="s">
        <v>433</v>
      </c>
      <c r="C17" t="s">
        <v>176</v>
      </c>
      <c r="D17" t="s">
        <v>2498</v>
      </c>
      <c r="E17" t="s">
        <v>2481</v>
      </c>
      <c r="F17" t="s">
        <v>2499</v>
      </c>
      <c r="G17" t="s">
        <v>26</v>
      </c>
      <c r="H17" t="s">
        <v>2500</v>
      </c>
      <c r="J17" t="s">
        <v>27</v>
      </c>
    </row>
    <row r="18" spans="1:10">
      <c r="E18" t="s">
        <v>2501</v>
      </c>
    </row>
    <row r="19" spans="1:10">
      <c r="E19" t="s">
        <v>2502</v>
      </c>
    </row>
    <row r="20" spans="1:10">
      <c r="E20" t="s">
        <v>1262</v>
      </c>
    </row>
    <row r="21" spans="1:10">
      <c r="A21" t="s">
        <v>2503</v>
      </c>
      <c r="B21" t="s">
        <v>433</v>
      </c>
      <c r="C21" t="s">
        <v>176</v>
      </c>
      <c r="D21" t="s">
        <v>2504</v>
      </c>
      <c r="E21" t="s">
        <v>2481</v>
      </c>
      <c r="F21" t="s">
        <v>2505</v>
      </c>
      <c r="G21" t="s">
        <v>26</v>
      </c>
      <c r="H21" t="s">
        <v>2506</v>
      </c>
      <c r="J21" t="s">
        <v>27</v>
      </c>
    </row>
    <row r="22" spans="1:10">
      <c r="E22" t="s">
        <v>2507</v>
      </c>
    </row>
    <row r="23" spans="1:10">
      <c r="E23" t="s">
        <v>2508</v>
      </c>
    </row>
    <row r="24" spans="1:10">
      <c r="E24" t="s">
        <v>1262</v>
      </c>
    </row>
    <row r="25" spans="1:10">
      <c r="A25" t="s">
        <v>2509</v>
      </c>
      <c r="B25" t="s">
        <v>433</v>
      </c>
      <c r="C25" t="s">
        <v>176</v>
      </c>
      <c r="D25" t="s">
        <v>2510</v>
      </c>
      <c r="E25" t="s">
        <v>2511</v>
      </c>
      <c r="G25" t="s">
        <v>26</v>
      </c>
      <c r="H25" t="s">
        <v>2512</v>
      </c>
      <c r="J25" t="s">
        <v>42</v>
      </c>
    </row>
    <row r="26" spans="1:10">
      <c r="E26" t="s">
        <v>1294</v>
      </c>
    </row>
    <row r="27" spans="1:10">
      <c r="A27" t="s">
        <v>2513</v>
      </c>
      <c r="B27" t="s">
        <v>433</v>
      </c>
      <c r="C27" t="s">
        <v>176</v>
      </c>
      <c r="D27" t="s">
        <v>2514</v>
      </c>
      <c r="E27" t="s">
        <v>2481</v>
      </c>
      <c r="G27" t="s">
        <v>26</v>
      </c>
      <c r="H27" t="s">
        <v>2515</v>
      </c>
      <c r="J27" t="s">
        <v>27</v>
      </c>
    </row>
    <row r="28" spans="1:10">
      <c r="E28" t="s">
        <v>2516</v>
      </c>
    </row>
    <row r="29" spans="1:10">
      <c r="E29" t="s">
        <v>2517</v>
      </c>
    </row>
    <row r="30" spans="1:10">
      <c r="A30" t="s">
        <v>2518</v>
      </c>
      <c r="B30" t="s">
        <v>433</v>
      </c>
      <c r="C30" t="s">
        <v>176</v>
      </c>
      <c r="D30" t="s">
        <v>2519</v>
      </c>
      <c r="E30" t="s">
        <v>2481</v>
      </c>
      <c r="G30" t="s">
        <v>26</v>
      </c>
      <c r="H30" t="s">
        <v>2520</v>
      </c>
      <c r="J30" t="s">
        <v>27</v>
      </c>
    </row>
    <row r="31" spans="1:10">
      <c r="E31" t="s">
        <v>2521</v>
      </c>
    </row>
    <row r="32" spans="1:10">
      <c r="A32" t="s">
        <v>2522</v>
      </c>
      <c r="B32" t="s">
        <v>433</v>
      </c>
      <c r="C32" t="s">
        <v>176</v>
      </c>
      <c r="D32" t="s">
        <v>2523</v>
      </c>
      <c r="E32" t="s">
        <v>2524</v>
      </c>
      <c r="G32" t="s">
        <v>26</v>
      </c>
      <c r="H32" t="s">
        <v>2525</v>
      </c>
      <c r="J32" t="s">
        <v>42</v>
      </c>
    </row>
    <row r="33" spans="1:10">
      <c r="E33" t="s">
        <v>2526</v>
      </c>
    </row>
    <row r="34" spans="1:10">
      <c r="A34" t="s">
        <v>2527</v>
      </c>
      <c r="B34" t="s">
        <v>433</v>
      </c>
      <c r="C34" t="s">
        <v>176</v>
      </c>
      <c r="D34" t="s">
        <v>2528</v>
      </c>
      <c r="E34" t="s">
        <v>2529</v>
      </c>
      <c r="F34" t="s">
        <v>2530</v>
      </c>
      <c r="G34" t="s">
        <v>26</v>
      </c>
      <c r="H34" t="s">
        <v>2531</v>
      </c>
      <c r="J34" t="s">
        <v>464</v>
      </c>
    </row>
    <row r="35" spans="1:10">
      <c r="E35" t="s">
        <v>2532</v>
      </c>
    </row>
    <row r="36" spans="1:10">
      <c r="E36" t="s">
        <v>2533</v>
      </c>
    </row>
    <row r="37" spans="1:10">
      <c r="E37" t="s">
        <v>2534</v>
      </c>
    </row>
    <row r="38" spans="1:10">
      <c r="E38" t="s">
        <v>2535</v>
      </c>
    </row>
    <row r="39" spans="1:10">
      <c r="A39" t="s">
        <v>2536</v>
      </c>
      <c r="B39" t="s">
        <v>433</v>
      </c>
      <c r="C39" t="s">
        <v>176</v>
      </c>
      <c r="D39" t="s">
        <v>2537</v>
      </c>
      <c r="E39" t="s">
        <v>2538</v>
      </c>
      <c r="G39" t="s">
        <v>75</v>
      </c>
      <c r="H39" t="s">
        <v>2539</v>
      </c>
      <c r="J39" t="s">
        <v>27</v>
      </c>
    </row>
    <row r="40" spans="1:10">
      <c r="E40" t="s">
        <v>2540</v>
      </c>
    </row>
    <row r="41" spans="1:10">
      <c r="A41" t="s">
        <v>2541</v>
      </c>
      <c r="B41" t="s">
        <v>433</v>
      </c>
      <c r="C41" t="s">
        <v>176</v>
      </c>
      <c r="D41" t="s">
        <v>2542</v>
      </c>
      <c r="E41" t="s">
        <v>2543</v>
      </c>
      <c r="G41" t="s">
        <v>26</v>
      </c>
      <c r="H41" t="s">
        <v>2544</v>
      </c>
      <c r="J41" t="s">
        <v>27</v>
      </c>
    </row>
    <row r="42" spans="1:10">
      <c r="E42" t="s">
        <v>2545</v>
      </c>
    </row>
    <row r="43" spans="1:10">
      <c r="A43" t="s">
        <v>2546</v>
      </c>
      <c r="B43" t="s">
        <v>433</v>
      </c>
      <c r="C43" t="s">
        <v>176</v>
      </c>
      <c r="D43" t="s">
        <v>2547</v>
      </c>
      <c r="E43" t="s">
        <v>2548</v>
      </c>
      <c r="G43" t="s">
        <v>521</v>
      </c>
      <c r="H43" t="s">
        <v>2549</v>
      </c>
      <c r="J43" t="s">
        <v>42</v>
      </c>
    </row>
    <row r="44" spans="1:10">
      <c r="E44" t="s">
        <v>2550</v>
      </c>
    </row>
    <row r="45" spans="1:10">
      <c r="E45" t="s">
        <v>2551</v>
      </c>
    </row>
  </sheetData>
  <pageMargins left="0.75" right="0.75" top="1" bottom="1" header="0.511811023622047" footer="0.511811023622047"/>
  <headerFooter/>
  <ignoredErrors>
    <ignoredError sqref="A1:L45" numberStoredAsText="1"/>
  </ignoredError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6"/>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2552</v>
      </c>
      <c r="B2" t="s">
        <v>433</v>
      </c>
      <c r="C2" t="s">
        <v>181</v>
      </c>
      <c r="D2" t="s">
        <v>2553</v>
      </c>
      <c r="E2" t="s">
        <v>2554</v>
      </c>
      <c r="G2" t="s">
        <v>26</v>
      </c>
      <c r="H2" t="s">
        <v>2555</v>
      </c>
      <c r="J2" t="s">
        <v>27</v>
      </c>
    </row>
    <row r="3" spans="1:12">
      <c r="E3" t="s">
        <v>2556</v>
      </c>
    </row>
    <row r="4" spans="1:12">
      <c r="A4" t="s">
        <v>2557</v>
      </c>
      <c r="B4" t="s">
        <v>433</v>
      </c>
      <c r="C4" t="s">
        <v>181</v>
      </c>
      <c r="D4" t="s">
        <v>2558</v>
      </c>
      <c r="E4" t="s">
        <v>2559</v>
      </c>
      <c r="F4" t="s">
        <v>2560</v>
      </c>
      <c r="G4" t="s">
        <v>26</v>
      </c>
      <c r="H4" t="s">
        <v>2561</v>
      </c>
      <c r="J4" t="s">
        <v>27</v>
      </c>
    </row>
    <row r="5" spans="1:12">
      <c r="E5" t="s">
        <v>2562</v>
      </c>
    </row>
    <row r="6" spans="1:12">
      <c r="E6" t="s">
        <v>2563</v>
      </c>
    </row>
    <row r="7" spans="1:12">
      <c r="A7" t="s">
        <v>2564</v>
      </c>
      <c r="B7" t="s">
        <v>433</v>
      </c>
      <c r="C7" t="s">
        <v>181</v>
      </c>
      <c r="D7" t="s">
        <v>2565</v>
      </c>
      <c r="E7" t="s">
        <v>2566</v>
      </c>
      <c r="G7" t="s">
        <v>26</v>
      </c>
      <c r="H7" t="s">
        <v>2567</v>
      </c>
      <c r="J7" t="s">
        <v>42</v>
      </c>
    </row>
    <row r="8" spans="1:12">
      <c r="E8" t="s">
        <v>2568</v>
      </c>
    </row>
    <row r="9" spans="1:12">
      <c r="A9" t="s">
        <v>2569</v>
      </c>
      <c r="B9" t="s">
        <v>433</v>
      </c>
      <c r="C9" t="s">
        <v>181</v>
      </c>
      <c r="D9" t="s">
        <v>2570</v>
      </c>
      <c r="E9" t="s">
        <v>2571</v>
      </c>
      <c r="G9" t="s">
        <v>26</v>
      </c>
      <c r="H9" t="s">
        <v>2572</v>
      </c>
      <c r="J9" t="s">
        <v>42</v>
      </c>
    </row>
    <row r="10" spans="1:12">
      <c r="E10" t="s">
        <v>2573</v>
      </c>
    </row>
    <row r="11" spans="1:12">
      <c r="E11" t="s">
        <v>2574</v>
      </c>
    </row>
    <row r="12" spans="1:12">
      <c r="A12" t="s">
        <v>2575</v>
      </c>
      <c r="B12" t="s">
        <v>433</v>
      </c>
      <c r="C12" t="s">
        <v>181</v>
      </c>
      <c r="D12" t="s">
        <v>2576</v>
      </c>
      <c r="E12" t="s">
        <v>2559</v>
      </c>
      <c r="G12" t="s">
        <v>521</v>
      </c>
      <c r="H12" t="s">
        <v>2577</v>
      </c>
      <c r="J12" t="s">
        <v>27</v>
      </c>
    </row>
    <row r="13" spans="1:12">
      <c r="E13" t="s">
        <v>2578</v>
      </c>
    </row>
    <row r="14" spans="1:12">
      <c r="E14" t="s">
        <v>2579</v>
      </c>
    </row>
    <row r="15" spans="1:12">
      <c r="A15" t="s">
        <v>2580</v>
      </c>
      <c r="B15" t="s">
        <v>433</v>
      </c>
      <c r="C15" t="s">
        <v>181</v>
      </c>
      <c r="D15" t="s">
        <v>2581</v>
      </c>
      <c r="E15" t="s">
        <v>2559</v>
      </c>
      <c r="F15" t="s">
        <v>2582</v>
      </c>
      <c r="G15" t="s">
        <v>521</v>
      </c>
      <c r="H15" t="s">
        <v>2583</v>
      </c>
      <c r="J15" t="s">
        <v>42</v>
      </c>
    </row>
    <row r="16" spans="1:12">
      <c r="E16" t="s">
        <v>2584</v>
      </c>
    </row>
    <row r="17" spans="1:10">
      <c r="E17" t="s">
        <v>2579</v>
      </c>
    </row>
    <row r="18" spans="1:10">
      <c r="A18" t="s">
        <v>2585</v>
      </c>
      <c r="B18" t="s">
        <v>433</v>
      </c>
      <c r="C18" t="s">
        <v>181</v>
      </c>
      <c r="D18" t="s">
        <v>2586</v>
      </c>
      <c r="E18" t="s">
        <v>2559</v>
      </c>
      <c r="G18" t="s">
        <v>26</v>
      </c>
      <c r="H18" t="s">
        <v>2587</v>
      </c>
      <c r="J18" t="s">
        <v>42</v>
      </c>
    </row>
    <row r="19" spans="1:10">
      <c r="E19" t="s">
        <v>2588</v>
      </c>
    </row>
    <row r="20" spans="1:10">
      <c r="E20" t="s">
        <v>2589</v>
      </c>
    </row>
    <row r="21" spans="1:10">
      <c r="A21" t="s">
        <v>2590</v>
      </c>
      <c r="B21" t="s">
        <v>433</v>
      </c>
      <c r="C21" t="s">
        <v>181</v>
      </c>
      <c r="D21" t="s">
        <v>2591</v>
      </c>
      <c r="E21" t="s">
        <v>2559</v>
      </c>
      <c r="G21" t="s">
        <v>26</v>
      </c>
      <c r="H21" t="s">
        <v>2592</v>
      </c>
      <c r="J21" t="s">
        <v>27</v>
      </c>
    </row>
    <row r="22" spans="1:10">
      <c r="E22" t="s">
        <v>2593</v>
      </c>
    </row>
    <row r="23" spans="1:10">
      <c r="E23" t="s">
        <v>2594</v>
      </c>
    </row>
    <row r="24" spans="1:10">
      <c r="A24" t="s">
        <v>2595</v>
      </c>
      <c r="B24" t="s">
        <v>433</v>
      </c>
      <c r="C24" t="s">
        <v>181</v>
      </c>
      <c r="D24" t="s">
        <v>2596</v>
      </c>
      <c r="E24" t="s">
        <v>2559</v>
      </c>
      <c r="F24" t="s">
        <v>2597</v>
      </c>
      <c r="G24" t="s">
        <v>521</v>
      </c>
      <c r="H24" t="s">
        <v>2598</v>
      </c>
      <c r="J24" t="s">
        <v>42</v>
      </c>
    </row>
    <row r="25" spans="1:10">
      <c r="E25" t="s">
        <v>2599</v>
      </c>
    </row>
    <row r="26" spans="1:10">
      <c r="E26" t="s">
        <v>2600</v>
      </c>
    </row>
    <row r="27" spans="1:10">
      <c r="A27" t="s">
        <v>2601</v>
      </c>
      <c r="B27" t="s">
        <v>433</v>
      </c>
      <c r="C27" t="s">
        <v>181</v>
      </c>
      <c r="D27" t="s">
        <v>2602</v>
      </c>
      <c r="E27" t="s">
        <v>2603</v>
      </c>
      <c r="G27" t="s">
        <v>26</v>
      </c>
      <c r="H27" t="s">
        <v>2604</v>
      </c>
      <c r="J27" t="s">
        <v>27</v>
      </c>
    </row>
    <row r="28" spans="1:10">
      <c r="E28" t="s">
        <v>757</v>
      </c>
    </row>
    <row r="29" spans="1:10">
      <c r="E29" t="s">
        <v>2605</v>
      </c>
    </row>
    <row r="30" spans="1:10">
      <c r="E30" t="s">
        <v>2579</v>
      </c>
    </row>
    <row r="31" spans="1:10">
      <c r="A31" t="s">
        <v>2606</v>
      </c>
      <c r="B31" t="s">
        <v>433</v>
      </c>
      <c r="C31" t="s">
        <v>181</v>
      </c>
      <c r="D31" t="s">
        <v>2607</v>
      </c>
      <c r="E31" t="s">
        <v>2559</v>
      </c>
      <c r="G31" t="s">
        <v>26</v>
      </c>
      <c r="H31" t="s">
        <v>2608</v>
      </c>
      <c r="J31" t="s">
        <v>42</v>
      </c>
    </row>
    <row r="32" spans="1:10">
      <c r="E32" t="s">
        <v>2609</v>
      </c>
    </row>
    <row r="33" spans="1:10">
      <c r="E33" t="s">
        <v>2610</v>
      </c>
    </row>
    <row r="34" spans="1:10">
      <c r="E34" t="s">
        <v>2611</v>
      </c>
    </row>
    <row r="35" spans="1:10">
      <c r="A35" t="s">
        <v>2612</v>
      </c>
      <c r="B35" t="s">
        <v>433</v>
      </c>
      <c r="C35" t="s">
        <v>181</v>
      </c>
      <c r="D35" t="s">
        <v>2613</v>
      </c>
      <c r="E35" t="s">
        <v>2559</v>
      </c>
      <c r="G35" t="s">
        <v>26</v>
      </c>
      <c r="H35" t="s">
        <v>2614</v>
      </c>
      <c r="J35" t="s">
        <v>42</v>
      </c>
    </row>
    <row r="36" spans="1:10">
      <c r="E36" t="s">
        <v>2615</v>
      </c>
    </row>
    <row r="37" spans="1:10">
      <c r="E37" t="s">
        <v>1543</v>
      </c>
    </row>
    <row r="38" spans="1:10">
      <c r="A38" t="s">
        <v>2616</v>
      </c>
      <c r="B38" t="s">
        <v>433</v>
      </c>
      <c r="C38" t="s">
        <v>181</v>
      </c>
      <c r="D38" t="s">
        <v>2617</v>
      </c>
      <c r="E38" t="s">
        <v>2618</v>
      </c>
      <c r="G38" t="s">
        <v>521</v>
      </c>
      <c r="H38" t="s">
        <v>2619</v>
      </c>
      <c r="J38" t="s">
        <v>27</v>
      </c>
    </row>
    <row r="39" spans="1:10">
      <c r="E39" t="s">
        <v>2620</v>
      </c>
    </row>
    <row r="40" spans="1:10">
      <c r="E40" t="s">
        <v>2579</v>
      </c>
    </row>
    <row r="41" spans="1:10">
      <c r="A41" t="s">
        <v>2621</v>
      </c>
      <c r="B41" t="s">
        <v>433</v>
      </c>
      <c r="C41" t="s">
        <v>181</v>
      </c>
      <c r="D41" t="s">
        <v>2622</v>
      </c>
      <c r="E41" t="s">
        <v>2559</v>
      </c>
      <c r="F41" t="s">
        <v>2623</v>
      </c>
      <c r="G41" t="s">
        <v>521</v>
      </c>
      <c r="H41" t="s">
        <v>2624</v>
      </c>
      <c r="J41" t="s">
        <v>42</v>
      </c>
    </row>
    <row r="42" spans="1:10">
      <c r="E42" t="s">
        <v>2625</v>
      </c>
    </row>
    <row r="43" spans="1:10">
      <c r="E43" t="s">
        <v>714</v>
      </c>
    </row>
    <row r="44" spans="1:10">
      <c r="A44" t="s">
        <v>2626</v>
      </c>
      <c r="B44" t="s">
        <v>433</v>
      </c>
      <c r="C44" t="s">
        <v>181</v>
      </c>
      <c r="D44" t="s">
        <v>2627</v>
      </c>
      <c r="E44" t="s">
        <v>2559</v>
      </c>
      <c r="F44" t="s">
        <v>1546</v>
      </c>
      <c r="G44" t="s">
        <v>75</v>
      </c>
      <c r="H44" t="s">
        <v>1547</v>
      </c>
      <c r="J44" t="s">
        <v>27</v>
      </c>
    </row>
    <row r="45" spans="1:10">
      <c r="E45" t="s">
        <v>2628</v>
      </c>
    </row>
    <row r="46" spans="1:10">
      <c r="E46" t="s">
        <v>1549</v>
      </c>
    </row>
  </sheetData>
  <pageMargins left="0.75" right="0.75" top="1" bottom="1" header="0.511811023622047" footer="0.511811023622047"/>
  <headerFooter/>
  <ignoredErrors>
    <ignoredError sqref="A1:L46" numberStoredAsText="1"/>
  </ignoredError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9"/>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2629</v>
      </c>
      <c r="B2" t="s">
        <v>433</v>
      </c>
      <c r="C2" t="s">
        <v>185</v>
      </c>
      <c r="D2" t="s">
        <v>2630</v>
      </c>
      <c r="E2" t="s">
        <v>2631</v>
      </c>
      <c r="G2" t="s">
        <v>26</v>
      </c>
      <c r="H2" t="s">
        <v>2632</v>
      </c>
      <c r="J2" t="s">
        <v>27</v>
      </c>
    </row>
    <row r="3" spans="1:12">
      <c r="E3" t="s">
        <v>1395</v>
      </c>
    </row>
    <row r="4" spans="1:12">
      <c r="A4" t="s">
        <v>2633</v>
      </c>
      <c r="B4" t="s">
        <v>433</v>
      </c>
      <c r="C4" t="s">
        <v>185</v>
      </c>
      <c r="D4" t="s">
        <v>2634</v>
      </c>
      <c r="E4" t="s">
        <v>2635</v>
      </c>
      <c r="F4" t="s">
        <v>2636</v>
      </c>
      <c r="G4" t="s">
        <v>26</v>
      </c>
      <c r="H4" t="s">
        <v>2637</v>
      </c>
      <c r="J4" t="s">
        <v>27</v>
      </c>
    </row>
    <row r="5" spans="1:12">
      <c r="E5" t="s">
        <v>2638</v>
      </c>
    </row>
    <row r="6" spans="1:12">
      <c r="E6" t="s">
        <v>2639</v>
      </c>
    </row>
    <row r="7" spans="1:12">
      <c r="A7" t="s">
        <v>2640</v>
      </c>
      <c r="B7" t="s">
        <v>433</v>
      </c>
      <c r="C7" t="s">
        <v>185</v>
      </c>
      <c r="D7" t="s">
        <v>2641</v>
      </c>
      <c r="E7" t="s">
        <v>2635</v>
      </c>
      <c r="G7" t="s">
        <v>26</v>
      </c>
      <c r="H7" t="s">
        <v>2642</v>
      </c>
      <c r="J7" t="s">
        <v>27</v>
      </c>
    </row>
    <row r="8" spans="1:12">
      <c r="E8" t="s">
        <v>2643</v>
      </c>
    </row>
    <row r="9" spans="1:12">
      <c r="E9" t="s">
        <v>1262</v>
      </c>
    </row>
    <row r="10" spans="1:12">
      <c r="A10" t="s">
        <v>2644</v>
      </c>
      <c r="B10" t="s">
        <v>433</v>
      </c>
      <c r="C10" t="s">
        <v>185</v>
      </c>
      <c r="D10" t="s">
        <v>2645</v>
      </c>
      <c r="E10" t="s">
        <v>2646</v>
      </c>
      <c r="G10" t="s">
        <v>26</v>
      </c>
      <c r="H10" t="s">
        <v>2647</v>
      </c>
      <c r="J10" t="s">
        <v>42</v>
      </c>
    </row>
    <row r="11" spans="1:12">
      <c r="E11" t="s">
        <v>2648</v>
      </c>
    </row>
    <row r="12" spans="1:12">
      <c r="A12" t="s">
        <v>2649</v>
      </c>
      <c r="B12" t="s">
        <v>433</v>
      </c>
      <c r="C12" t="s">
        <v>185</v>
      </c>
      <c r="D12" t="s">
        <v>2650</v>
      </c>
      <c r="E12" t="s">
        <v>2635</v>
      </c>
      <c r="G12" t="s">
        <v>521</v>
      </c>
      <c r="H12" t="s">
        <v>2651</v>
      </c>
      <c r="J12" t="s">
        <v>42</v>
      </c>
    </row>
    <row r="13" spans="1:12">
      <c r="E13" t="s">
        <v>2652</v>
      </c>
    </row>
    <row r="14" spans="1:12">
      <c r="A14" t="s">
        <v>2653</v>
      </c>
      <c r="B14" t="s">
        <v>433</v>
      </c>
      <c r="C14" t="s">
        <v>185</v>
      </c>
      <c r="D14" t="s">
        <v>2654</v>
      </c>
      <c r="E14" t="s">
        <v>2655</v>
      </c>
      <c r="G14" t="s">
        <v>26</v>
      </c>
      <c r="H14" t="s">
        <v>2656</v>
      </c>
      <c r="J14" t="s">
        <v>42</v>
      </c>
    </row>
    <row r="15" spans="1:12">
      <c r="E15" t="s">
        <v>2657</v>
      </c>
    </row>
    <row r="16" spans="1:12">
      <c r="A16" t="s">
        <v>2658</v>
      </c>
      <c r="B16" t="s">
        <v>433</v>
      </c>
      <c r="C16" t="s">
        <v>185</v>
      </c>
      <c r="D16" t="s">
        <v>2659</v>
      </c>
      <c r="E16" t="s">
        <v>2635</v>
      </c>
      <c r="G16" t="s">
        <v>26</v>
      </c>
      <c r="H16" t="s">
        <v>2660</v>
      </c>
      <c r="J16" t="s">
        <v>27</v>
      </c>
    </row>
    <row r="17" spans="1:10">
      <c r="E17" t="s">
        <v>2661</v>
      </c>
    </row>
    <row r="18" spans="1:10">
      <c r="A18" t="s">
        <v>2662</v>
      </c>
      <c r="B18" t="s">
        <v>433</v>
      </c>
      <c r="C18" t="s">
        <v>185</v>
      </c>
      <c r="D18" t="s">
        <v>2663</v>
      </c>
      <c r="E18" t="s">
        <v>2664</v>
      </c>
      <c r="G18" t="s">
        <v>521</v>
      </c>
      <c r="H18" t="s">
        <v>2665</v>
      </c>
      <c r="J18" t="s">
        <v>27</v>
      </c>
    </row>
    <row r="19" spans="1:10">
      <c r="E19" t="s">
        <v>2666</v>
      </c>
    </row>
    <row r="20" spans="1:10">
      <c r="A20" t="s">
        <v>2667</v>
      </c>
      <c r="B20" t="s">
        <v>433</v>
      </c>
      <c r="C20" t="s">
        <v>185</v>
      </c>
      <c r="D20" t="s">
        <v>2668</v>
      </c>
      <c r="E20" t="s">
        <v>2669</v>
      </c>
      <c r="G20" t="s">
        <v>26</v>
      </c>
      <c r="H20" t="s">
        <v>2670</v>
      </c>
      <c r="J20" t="s">
        <v>27</v>
      </c>
    </row>
    <row r="21" spans="1:10">
      <c r="E21" t="s">
        <v>2671</v>
      </c>
    </row>
    <row r="22" spans="1:10">
      <c r="A22" t="s">
        <v>2672</v>
      </c>
      <c r="B22" t="s">
        <v>433</v>
      </c>
      <c r="C22" t="s">
        <v>185</v>
      </c>
      <c r="D22" t="s">
        <v>2673</v>
      </c>
      <c r="E22" t="s">
        <v>2635</v>
      </c>
      <c r="G22" t="s">
        <v>26</v>
      </c>
      <c r="H22" t="s">
        <v>2674</v>
      </c>
      <c r="J22" t="s">
        <v>42</v>
      </c>
    </row>
    <row r="23" spans="1:10">
      <c r="E23" t="s">
        <v>2675</v>
      </c>
    </row>
    <row r="24" spans="1:10">
      <c r="A24" t="s">
        <v>2676</v>
      </c>
      <c r="B24" t="s">
        <v>433</v>
      </c>
      <c r="C24" t="s">
        <v>185</v>
      </c>
      <c r="D24" t="s">
        <v>2677</v>
      </c>
      <c r="E24" t="s">
        <v>2678</v>
      </c>
      <c r="G24" t="s">
        <v>26</v>
      </c>
      <c r="H24" t="s">
        <v>2679</v>
      </c>
      <c r="J24" t="s">
        <v>27</v>
      </c>
    </row>
    <row r="25" spans="1:10">
      <c r="E25" t="s">
        <v>2680</v>
      </c>
    </row>
    <row r="26" spans="1:10">
      <c r="A26" t="s">
        <v>2681</v>
      </c>
      <c r="B26" t="s">
        <v>433</v>
      </c>
      <c r="C26" t="s">
        <v>185</v>
      </c>
      <c r="D26" t="s">
        <v>2682</v>
      </c>
      <c r="E26" t="s">
        <v>2683</v>
      </c>
      <c r="G26" t="s">
        <v>521</v>
      </c>
      <c r="H26" t="s">
        <v>2684</v>
      </c>
      <c r="J26" t="s">
        <v>42</v>
      </c>
    </row>
    <row r="27" spans="1:10">
      <c r="E27" t="s">
        <v>2685</v>
      </c>
    </row>
    <row r="28" spans="1:10">
      <c r="A28" t="s">
        <v>2686</v>
      </c>
      <c r="B28" t="s">
        <v>433</v>
      </c>
      <c r="C28" t="s">
        <v>185</v>
      </c>
      <c r="D28" t="s">
        <v>2687</v>
      </c>
      <c r="E28" t="s">
        <v>2635</v>
      </c>
      <c r="G28" t="s">
        <v>26</v>
      </c>
      <c r="H28" t="s">
        <v>2688</v>
      </c>
      <c r="J28" t="s">
        <v>42</v>
      </c>
    </row>
    <row r="29" spans="1:10">
      <c r="E29" t="s">
        <v>2689</v>
      </c>
    </row>
  </sheetData>
  <pageMargins left="0.75" right="0.75" top="1" bottom="1" header="0.511811023622047" footer="0.511811023622047"/>
  <headerFooter/>
  <ignoredErrors>
    <ignoredError sqref="A1:L29" numberStoredAsText="1"/>
  </ignoredError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1"/>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2690</v>
      </c>
      <c r="B2" t="s">
        <v>433</v>
      </c>
      <c r="C2" t="s">
        <v>189</v>
      </c>
      <c r="D2" t="s">
        <v>2691</v>
      </c>
      <c r="E2" t="s">
        <v>2692</v>
      </c>
      <c r="G2" t="s">
        <v>26</v>
      </c>
      <c r="H2" t="s">
        <v>2693</v>
      </c>
      <c r="J2" t="s">
        <v>27</v>
      </c>
    </row>
    <row r="3" spans="1:12">
      <c r="E3" t="s">
        <v>2694</v>
      </c>
    </row>
    <row r="4" spans="1:12">
      <c r="A4" t="s">
        <v>2695</v>
      </c>
      <c r="B4" t="s">
        <v>433</v>
      </c>
      <c r="C4" t="s">
        <v>189</v>
      </c>
      <c r="D4" t="s">
        <v>2696</v>
      </c>
      <c r="E4" t="s">
        <v>2697</v>
      </c>
      <c r="G4" t="s">
        <v>26</v>
      </c>
      <c r="H4" t="s">
        <v>2698</v>
      </c>
      <c r="J4" t="s">
        <v>27</v>
      </c>
    </row>
    <row r="5" spans="1:12">
      <c r="E5" t="s">
        <v>2699</v>
      </c>
    </row>
    <row r="6" spans="1:12">
      <c r="A6" t="s">
        <v>2700</v>
      </c>
      <c r="B6" t="s">
        <v>433</v>
      </c>
      <c r="C6" t="s">
        <v>189</v>
      </c>
      <c r="D6" t="s">
        <v>2701</v>
      </c>
      <c r="E6" t="s">
        <v>2702</v>
      </c>
      <c r="G6" t="s">
        <v>521</v>
      </c>
      <c r="H6" t="s">
        <v>2703</v>
      </c>
      <c r="J6" t="s">
        <v>27</v>
      </c>
    </row>
    <row r="7" spans="1:12">
      <c r="E7" t="s">
        <v>2704</v>
      </c>
    </row>
    <row r="8" spans="1:12">
      <c r="A8" t="s">
        <v>2705</v>
      </c>
      <c r="B8" t="s">
        <v>433</v>
      </c>
      <c r="C8" t="s">
        <v>189</v>
      </c>
      <c r="D8" t="s">
        <v>2706</v>
      </c>
      <c r="E8" t="s">
        <v>2697</v>
      </c>
      <c r="G8" t="s">
        <v>26</v>
      </c>
      <c r="H8" t="s">
        <v>2707</v>
      </c>
      <c r="J8" t="s">
        <v>27</v>
      </c>
    </row>
    <row r="9" spans="1:12">
      <c r="E9" t="s">
        <v>2708</v>
      </c>
    </row>
    <row r="10" spans="1:12">
      <c r="E10" t="s">
        <v>2709</v>
      </c>
    </row>
    <row r="11" spans="1:12">
      <c r="A11" t="s">
        <v>2710</v>
      </c>
      <c r="B11" t="s">
        <v>433</v>
      </c>
      <c r="C11" t="s">
        <v>189</v>
      </c>
      <c r="D11" t="s">
        <v>2711</v>
      </c>
      <c r="E11" t="s">
        <v>2697</v>
      </c>
      <c r="G11" t="s">
        <v>26</v>
      </c>
      <c r="H11" t="s">
        <v>2712</v>
      </c>
      <c r="J11" t="s">
        <v>42</v>
      </c>
    </row>
    <row r="12" spans="1:12">
      <c r="E12" t="s">
        <v>1543</v>
      </c>
    </row>
    <row r="13" spans="1:12">
      <c r="A13" t="s">
        <v>2713</v>
      </c>
      <c r="B13" t="s">
        <v>433</v>
      </c>
      <c r="C13" t="s">
        <v>189</v>
      </c>
      <c r="D13" t="s">
        <v>2714</v>
      </c>
      <c r="E13" t="s">
        <v>2697</v>
      </c>
      <c r="G13" t="s">
        <v>26</v>
      </c>
      <c r="H13" t="s">
        <v>2715</v>
      </c>
      <c r="J13" t="s">
        <v>42</v>
      </c>
    </row>
    <row r="14" spans="1:12">
      <c r="E14" t="s">
        <v>2716</v>
      </c>
    </row>
    <row r="15" spans="1:12">
      <c r="A15" t="s">
        <v>2717</v>
      </c>
      <c r="B15" t="s">
        <v>433</v>
      </c>
      <c r="C15" t="s">
        <v>189</v>
      </c>
      <c r="D15" t="s">
        <v>2718</v>
      </c>
      <c r="E15" t="s">
        <v>2697</v>
      </c>
      <c r="G15" t="s">
        <v>26</v>
      </c>
      <c r="H15" t="s">
        <v>2719</v>
      </c>
      <c r="J15" t="s">
        <v>464</v>
      </c>
    </row>
    <row r="16" spans="1:12">
      <c r="E16" t="s">
        <v>1331</v>
      </c>
    </row>
    <row r="17" spans="1:10">
      <c r="A17" t="s">
        <v>2720</v>
      </c>
      <c r="B17" t="s">
        <v>433</v>
      </c>
      <c r="C17" t="s">
        <v>189</v>
      </c>
      <c r="D17" t="s">
        <v>2721</v>
      </c>
      <c r="E17" t="s">
        <v>2697</v>
      </c>
      <c r="G17" t="s">
        <v>26</v>
      </c>
      <c r="H17" t="s">
        <v>2722</v>
      </c>
      <c r="J17" t="s">
        <v>42</v>
      </c>
    </row>
    <row r="18" spans="1:10">
      <c r="E18" t="s">
        <v>2723</v>
      </c>
    </row>
    <row r="19" spans="1:10">
      <c r="E19" t="s">
        <v>2709</v>
      </c>
    </row>
    <row r="20" spans="1:10">
      <c r="A20" t="s">
        <v>2724</v>
      </c>
      <c r="B20" t="s">
        <v>433</v>
      </c>
      <c r="C20" t="s">
        <v>189</v>
      </c>
      <c r="D20" t="s">
        <v>2725</v>
      </c>
      <c r="E20" t="s">
        <v>2726</v>
      </c>
      <c r="G20" t="s">
        <v>521</v>
      </c>
      <c r="H20" t="s">
        <v>2727</v>
      </c>
      <c r="J20" t="s">
        <v>42</v>
      </c>
    </row>
    <row r="21" spans="1:10">
      <c r="E21" t="s">
        <v>2728</v>
      </c>
    </row>
  </sheetData>
  <pageMargins left="0.75" right="0.75" top="1" bottom="1" header="0.511811023622047" footer="0.511811023622047"/>
  <headerFooter/>
  <ignoredErrors>
    <ignoredError sqref="A1:L21" numberStoredAsText="1"/>
  </ignoredError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5"/>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2729</v>
      </c>
      <c r="B2" t="s">
        <v>433</v>
      </c>
      <c r="C2" t="s">
        <v>193</v>
      </c>
      <c r="D2" t="s">
        <v>2730</v>
      </c>
      <c r="E2" t="s">
        <v>2731</v>
      </c>
      <c r="G2" t="s">
        <v>26</v>
      </c>
      <c r="H2" t="s">
        <v>2732</v>
      </c>
      <c r="J2" t="s">
        <v>27</v>
      </c>
    </row>
    <row r="3" spans="1:12">
      <c r="E3" t="s">
        <v>2733</v>
      </c>
    </row>
    <row r="4" spans="1:12">
      <c r="A4" t="s">
        <v>2734</v>
      </c>
      <c r="B4" t="s">
        <v>433</v>
      </c>
      <c r="C4" t="s">
        <v>193</v>
      </c>
      <c r="D4" t="s">
        <v>2735</v>
      </c>
      <c r="E4" t="s">
        <v>2736</v>
      </c>
      <c r="G4" t="s">
        <v>26</v>
      </c>
      <c r="H4" t="s">
        <v>2737</v>
      </c>
      <c r="J4" t="s">
        <v>27</v>
      </c>
    </row>
    <row r="5" spans="1:12">
      <c r="E5" t="s">
        <v>2738</v>
      </c>
    </row>
    <row r="6" spans="1:12">
      <c r="A6" t="s">
        <v>2739</v>
      </c>
      <c r="B6" t="s">
        <v>433</v>
      </c>
      <c r="C6" t="s">
        <v>193</v>
      </c>
      <c r="D6" t="s">
        <v>2740</v>
      </c>
      <c r="E6" t="s">
        <v>2736</v>
      </c>
      <c r="G6" t="s">
        <v>521</v>
      </c>
      <c r="H6" t="s">
        <v>2741</v>
      </c>
      <c r="J6" t="s">
        <v>27</v>
      </c>
    </row>
    <row r="7" spans="1:12">
      <c r="E7" t="s">
        <v>2742</v>
      </c>
    </row>
    <row r="8" spans="1:12">
      <c r="E8" t="s">
        <v>2709</v>
      </c>
    </row>
    <row r="9" spans="1:12">
      <c r="A9" t="s">
        <v>2743</v>
      </c>
      <c r="B9" t="s">
        <v>433</v>
      </c>
      <c r="C9" t="s">
        <v>193</v>
      </c>
      <c r="D9" t="s">
        <v>2744</v>
      </c>
      <c r="E9" t="s">
        <v>2736</v>
      </c>
      <c r="F9" t="s">
        <v>2745</v>
      </c>
      <c r="G9" t="s">
        <v>521</v>
      </c>
      <c r="H9" t="s">
        <v>2746</v>
      </c>
      <c r="J9" t="s">
        <v>42</v>
      </c>
    </row>
    <row r="10" spans="1:12">
      <c r="E10" t="s">
        <v>2747</v>
      </c>
    </row>
    <row r="11" spans="1:12">
      <c r="E11" t="s">
        <v>2709</v>
      </c>
    </row>
    <row r="12" spans="1:12">
      <c r="A12" t="s">
        <v>2748</v>
      </c>
      <c r="B12" t="s">
        <v>433</v>
      </c>
      <c r="C12" t="s">
        <v>193</v>
      </c>
      <c r="D12" t="s">
        <v>2749</v>
      </c>
      <c r="E12" t="s">
        <v>2736</v>
      </c>
      <c r="G12" t="s">
        <v>26</v>
      </c>
      <c r="H12" t="s">
        <v>2750</v>
      </c>
      <c r="J12" t="s">
        <v>27</v>
      </c>
    </row>
    <row r="13" spans="1:12">
      <c r="E13" t="s">
        <v>2751</v>
      </c>
    </row>
    <row r="14" spans="1:12">
      <c r="A14" t="s">
        <v>2752</v>
      </c>
      <c r="B14" t="s">
        <v>433</v>
      </c>
      <c r="C14" t="s">
        <v>193</v>
      </c>
      <c r="D14" t="s">
        <v>2753</v>
      </c>
      <c r="E14" t="s">
        <v>2736</v>
      </c>
      <c r="G14" t="s">
        <v>26</v>
      </c>
      <c r="H14" t="s">
        <v>2754</v>
      </c>
      <c r="J14" t="s">
        <v>27</v>
      </c>
    </row>
    <row r="15" spans="1:12">
      <c r="E15" t="s">
        <v>2755</v>
      </c>
    </row>
    <row r="16" spans="1:12">
      <c r="E16" t="s">
        <v>2756</v>
      </c>
    </row>
    <row r="17" spans="1:10">
      <c r="A17" t="s">
        <v>2757</v>
      </c>
      <c r="B17" t="s">
        <v>433</v>
      </c>
      <c r="C17" t="s">
        <v>193</v>
      </c>
      <c r="D17" t="s">
        <v>2758</v>
      </c>
      <c r="E17" t="s">
        <v>2736</v>
      </c>
      <c r="G17" t="s">
        <v>521</v>
      </c>
      <c r="H17" t="s">
        <v>2759</v>
      </c>
      <c r="J17" t="s">
        <v>27</v>
      </c>
    </row>
    <row r="18" spans="1:10">
      <c r="E18" t="s">
        <v>2760</v>
      </c>
    </row>
    <row r="19" spans="1:10">
      <c r="E19" t="s">
        <v>2756</v>
      </c>
    </row>
    <row r="20" spans="1:10">
      <c r="A20" t="s">
        <v>2761</v>
      </c>
      <c r="B20" t="s">
        <v>433</v>
      </c>
      <c r="C20" t="s">
        <v>193</v>
      </c>
      <c r="D20" t="s">
        <v>2762</v>
      </c>
      <c r="E20" t="s">
        <v>2736</v>
      </c>
      <c r="G20" t="s">
        <v>26</v>
      </c>
      <c r="H20" t="s">
        <v>2763</v>
      </c>
      <c r="J20" t="s">
        <v>464</v>
      </c>
    </row>
    <row r="21" spans="1:10">
      <c r="E21" t="s">
        <v>2764</v>
      </c>
    </row>
    <row r="22" spans="1:10">
      <c r="E22" t="s">
        <v>2765</v>
      </c>
    </row>
    <row r="23" spans="1:10">
      <c r="A23" t="s">
        <v>2766</v>
      </c>
      <c r="B23" t="s">
        <v>433</v>
      </c>
      <c r="C23" t="s">
        <v>193</v>
      </c>
      <c r="D23" t="s">
        <v>2767</v>
      </c>
      <c r="E23" t="s">
        <v>2768</v>
      </c>
      <c r="G23" t="s">
        <v>26</v>
      </c>
      <c r="H23" t="s">
        <v>2769</v>
      </c>
      <c r="J23" t="s">
        <v>42</v>
      </c>
    </row>
    <row r="24" spans="1:10">
      <c r="E24" t="s">
        <v>811</v>
      </c>
    </row>
    <row r="25" spans="1:10">
      <c r="A25" t="s">
        <v>2770</v>
      </c>
      <c r="B25" t="s">
        <v>433</v>
      </c>
      <c r="C25" t="s">
        <v>193</v>
      </c>
      <c r="D25" t="s">
        <v>2771</v>
      </c>
      <c r="E25" t="s">
        <v>2772</v>
      </c>
      <c r="F25" t="s">
        <v>2773</v>
      </c>
      <c r="G25" t="s">
        <v>521</v>
      </c>
      <c r="H25" t="s">
        <v>2774</v>
      </c>
      <c r="J25" t="s">
        <v>27</v>
      </c>
    </row>
    <row r="26" spans="1:10">
      <c r="E26" t="s">
        <v>2775</v>
      </c>
    </row>
    <row r="27" spans="1:10">
      <c r="E27" t="s">
        <v>2709</v>
      </c>
    </row>
    <row r="28" spans="1:10">
      <c r="A28" t="s">
        <v>2776</v>
      </c>
      <c r="B28" t="s">
        <v>433</v>
      </c>
      <c r="C28" t="s">
        <v>193</v>
      </c>
      <c r="D28" t="s">
        <v>2777</v>
      </c>
      <c r="E28" t="s">
        <v>2736</v>
      </c>
      <c r="F28" t="s">
        <v>1546</v>
      </c>
      <c r="G28" t="s">
        <v>75</v>
      </c>
      <c r="H28" t="s">
        <v>2778</v>
      </c>
      <c r="J28" t="s">
        <v>27</v>
      </c>
    </row>
    <row r="29" spans="1:10">
      <c r="E29" t="s">
        <v>2779</v>
      </c>
    </row>
    <row r="30" spans="1:10">
      <c r="E30" t="s">
        <v>2600</v>
      </c>
    </row>
    <row r="31" spans="1:10">
      <c r="A31" t="s">
        <v>2780</v>
      </c>
      <c r="B31" t="s">
        <v>433</v>
      </c>
      <c r="C31" t="s">
        <v>193</v>
      </c>
      <c r="D31" t="s">
        <v>2781</v>
      </c>
      <c r="E31" t="s">
        <v>2736</v>
      </c>
      <c r="G31" t="s">
        <v>26</v>
      </c>
      <c r="H31" t="s">
        <v>2782</v>
      </c>
      <c r="J31" t="s">
        <v>464</v>
      </c>
    </row>
    <row r="32" spans="1:10">
      <c r="E32" t="s">
        <v>2783</v>
      </c>
    </row>
    <row r="33" spans="1:10">
      <c r="E33" t="s">
        <v>2784</v>
      </c>
    </row>
    <row r="34" spans="1:10">
      <c r="A34" t="s">
        <v>2785</v>
      </c>
      <c r="B34" t="s">
        <v>433</v>
      </c>
      <c r="C34" t="s">
        <v>193</v>
      </c>
      <c r="D34" t="s">
        <v>2786</v>
      </c>
      <c r="E34" t="s">
        <v>2787</v>
      </c>
      <c r="G34" t="s">
        <v>75</v>
      </c>
      <c r="H34" t="s">
        <v>2788</v>
      </c>
      <c r="J34" t="s">
        <v>27</v>
      </c>
    </row>
    <row r="35" spans="1:10">
      <c r="E35" t="s">
        <v>2789</v>
      </c>
    </row>
  </sheetData>
  <pageMargins left="0.75" right="0.75" top="1" bottom="1" header="0.511811023622047" footer="0.511811023622047"/>
  <headerFooter/>
  <ignoredErrors>
    <ignoredError sqref="A1:L3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7"/>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2790</v>
      </c>
      <c r="B2" t="s">
        <v>433</v>
      </c>
      <c r="C2" t="s">
        <v>197</v>
      </c>
      <c r="D2" t="s">
        <v>2791</v>
      </c>
      <c r="E2" t="s">
        <v>2792</v>
      </c>
      <c r="G2" t="s">
        <v>26</v>
      </c>
      <c r="H2" t="s">
        <v>2793</v>
      </c>
      <c r="J2" t="s">
        <v>27</v>
      </c>
    </row>
    <row r="3" spans="1:12">
      <c r="E3" t="s">
        <v>2794</v>
      </c>
    </row>
    <row r="4" spans="1:12">
      <c r="A4" t="s">
        <v>2795</v>
      </c>
      <c r="B4" t="s">
        <v>433</v>
      </c>
      <c r="C4" t="s">
        <v>197</v>
      </c>
      <c r="D4" t="s">
        <v>2796</v>
      </c>
      <c r="E4" t="s">
        <v>2797</v>
      </c>
      <c r="G4" t="s">
        <v>26</v>
      </c>
      <c r="H4" t="s">
        <v>2798</v>
      </c>
      <c r="J4" t="s">
        <v>27</v>
      </c>
    </row>
    <row r="5" spans="1:12">
      <c r="E5" t="s">
        <v>2799</v>
      </c>
    </row>
    <row r="6" spans="1:12">
      <c r="A6" t="s">
        <v>2800</v>
      </c>
      <c r="B6" t="s">
        <v>433</v>
      </c>
      <c r="C6" t="s">
        <v>197</v>
      </c>
      <c r="D6" t="s">
        <v>2801</v>
      </c>
      <c r="E6" t="s">
        <v>2802</v>
      </c>
      <c r="G6" t="s">
        <v>521</v>
      </c>
      <c r="H6" t="s">
        <v>2803</v>
      </c>
      <c r="J6" t="s">
        <v>27</v>
      </c>
    </row>
    <row r="7" spans="1:12">
      <c r="E7" t="s">
        <v>2804</v>
      </c>
    </row>
    <row r="8" spans="1:12">
      <c r="A8" t="s">
        <v>2805</v>
      </c>
      <c r="B8" t="s">
        <v>433</v>
      </c>
      <c r="C8" t="s">
        <v>197</v>
      </c>
      <c r="D8" t="s">
        <v>2806</v>
      </c>
      <c r="E8" t="s">
        <v>2807</v>
      </c>
      <c r="G8" t="s">
        <v>521</v>
      </c>
      <c r="H8" t="s">
        <v>2808</v>
      </c>
      <c r="J8" t="s">
        <v>27</v>
      </c>
    </row>
    <row r="9" spans="1:12">
      <c r="E9" t="s">
        <v>2809</v>
      </c>
    </row>
    <row r="10" spans="1:12">
      <c r="A10" t="s">
        <v>2810</v>
      </c>
      <c r="B10" t="s">
        <v>433</v>
      </c>
      <c r="C10" t="s">
        <v>197</v>
      </c>
      <c r="D10" t="s">
        <v>2811</v>
      </c>
      <c r="E10" t="s">
        <v>2812</v>
      </c>
      <c r="G10" t="s">
        <v>26</v>
      </c>
      <c r="H10" t="s">
        <v>2813</v>
      </c>
      <c r="J10" t="s">
        <v>27</v>
      </c>
    </row>
    <row r="11" spans="1:12">
      <c r="E11" t="s">
        <v>2814</v>
      </c>
    </row>
    <row r="12" spans="1:12">
      <c r="A12" t="s">
        <v>2815</v>
      </c>
      <c r="B12" t="s">
        <v>433</v>
      </c>
      <c r="C12" t="s">
        <v>197</v>
      </c>
      <c r="D12" t="s">
        <v>2816</v>
      </c>
      <c r="E12" t="s">
        <v>2817</v>
      </c>
      <c r="G12" t="s">
        <v>26</v>
      </c>
      <c r="H12" t="s">
        <v>2818</v>
      </c>
      <c r="J12" t="s">
        <v>42</v>
      </c>
    </row>
    <row r="13" spans="1:12">
      <c r="E13" t="s">
        <v>811</v>
      </c>
    </row>
    <row r="14" spans="1:12">
      <c r="A14" t="s">
        <v>2819</v>
      </c>
      <c r="B14" t="s">
        <v>433</v>
      </c>
      <c r="C14" t="s">
        <v>197</v>
      </c>
      <c r="D14" t="s">
        <v>2820</v>
      </c>
      <c r="E14" t="s">
        <v>2821</v>
      </c>
      <c r="G14" t="s">
        <v>521</v>
      </c>
      <c r="H14" t="s">
        <v>2822</v>
      </c>
      <c r="J14" t="s">
        <v>42</v>
      </c>
    </row>
    <row r="15" spans="1:12">
      <c r="E15" t="s">
        <v>2823</v>
      </c>
    </row>
    <row r="16" spans="1:12">
      <c r="A16" t="s">
        <v>2824</v>
      </c>
      <c r="B16" t="s">
        <v>433</v>
      </c>
      <c r="C16" t="s">
        <v>197</v>
      </c>
      <c r="D16" t="s">
        <v>2825</v>
      </c>
      <c r="E16" t="s">
        <v>2826</v>
      </c>
      <c r="G16" t="s">
        <v>26</v>
      </c>
      <c r="H16" t="s">
        <v>2827</v>
      </c>
      <c r="J16" t="s">
        <v>42</v>
      </c>
    </row>
    <row r="17" spans="5:5">
      <c r="E17" t="s">
        <v>2828</v>
      </c>
    </row>
  </sheetData>
  <pageMargins left="0.75" right="0.75" top="1" bottom="1" header="0.511811023622047" footer="0.511811023622047"/>
  <headerFooter/>
  <ignoredErrors>
    <ignoredError sqref="A1:L17" numberStoredAsText="1"/>
  </ignoredError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1"/>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2829</v>
      </c>
      <c r="B2" t="s">
        <v>433</v>
      </c>
      <c r="C2" t="s">
        <v>201</v>
      </c>
      <c r="D2" t="s">
        <v>2830</v>
      </c>
      <c r="E2" t="s">
        <v>2831</v>
      </c>
      <c r="G2" t="s">
        <v>26</v>
      </c>
      <c r="H2" t="s">
        <v>2832</v>
      </c>
      <c r="J2" t="s">
        <v>27</v>
      </c>
    </row>
    <row r="3" spans="1:12">
      <c r="E3" t="s">
        <v>2833</v>
      </c>
    </row>
    <row r="4" spans="1:12">
      <c r="A4" t="s">
        <v>2834</v>
      </c>
      <c r="B4" t="s">
        <v>433</v>
      </c>
      <c r="C4" t="s">
        <v>201</v>
      </c>
      <c r="D4" t="s">
        <v>2835</v>
      </c>
      <c r="E4" t="s">
        <v>2836</v>
      </c>
      <c r="G4" t="s">
        <v>26</v>
      </c>
      <c r="H4" t="s">
        <v>2837</v>
      </c>
      <c r="J4" t="s">
        <v>27</v>
      </c>
    </row>
    <row r="5" spans="1:12">
      <c r="E5" t="s">
        <v>2838</v>
      </c>
    </row>
    <row r="6" spans="1:12">
      <c r="A6" t="s">
        <v>2839</v>
      </c>
      <c r="B6" t="s">
        <v>433</v>
      </c>
      <c r="C6" t="s">
        <v>201</v>
      </c>
      <c r="D6" t="s">
        <v>2840</v>
      </c>
      <c r="E6" t="s">
        <v>2841</v>
      </c>
      <c r="G6" t="s">
        <v>26</v>
      </c>
      <c r="H6" t="s">
        <v>2842</v>
      </c>
      <c r="J6" t="s">
        <v>42</v>
      </c>
    </row>
    <row r="7" spans="1:12">
      <c r="E7" t="s">
        <v>2843</v>
      </c>
    </row>
    <row r="8" spans="1:12">
      <c r="A8" t="s">
        <v>2844</v>
      </c>
      <c r="B8" t="s">
        <v>433</v>
      </c>
      <c r="C8" t="s">
        <v>201</v>
      </c>
      <c r="D8" t="s">
        <v>2845</v>
      </c>
      <c r="E8" t="s">
        <v>2841</v>
      </c>
      <c r="G8" t="s">
        <v>26</v>
      </c>
      <c r="H8" t="s">
        <v>2846</v>
      </c>
      <c r="J8" t="s">
        <v>27</v>
      </c>
    </row>
    <row r="9" spans="1:12">
      <c r="E9" t="s">
        <v>2847</v>
      </c>
    </row>
    <row r="10" spans="1:12">
      <c r="A10" t="s">
        <v>2848</v>
      </c>
      <c r="B10" t="s">
        <v>433</v>
      </c>
      <c r="C10" t="s">
        <v>201</v>
      </c>
      <c r="D10" t="s">
        <v>2849</v>
      </c>
      <c r="E10" t="s">
        <v>2850</v>
      </c>
      <c r="G10" t="s">
        <v>26</v>
      </c>
      <c r="H10" t="s">
        <v>2851</v>
      </c>
      <c r="J10" t="s">
        <v>42</v>
      </c>
    </row>
    <row r="11" spans="1:12">
      <c r="E11" t="s">
        <v>2852</v>
      </c>
    </row>
    <row r="12" spans="1:12">
      <c r="A12" t="s">
        <v>2853</v>
      </c>
      <c r="B12" t="s">
        <v>433</v>
      </c>
      <c r="C12" t="s">
        <v>201</v>
      </c>
      <c r="D12" t="s">
        <v>2854</v>
      </c>
      <c r="E12" t="s">
        <v>2841</v>
      </c>
      <c r="G12" t="s">
        <v>26</v>
      </c>
      <c r="H12" t="s">
        <v>2855</v>
      </c>
      <c r="J12" t="s">
        <v>464</v>
      </c>
    </row>
    <row r="13" spans="1:12">
      <c r="E13" t="s">
        <v>2856</v>
      </c>
    </row>
    <row r="14" spans="1:12">
      <c r="A14" t="s">
        <v>2857</v>
      </c>
      <c r="B14" t="s">
        <v>433</v>
      </c>
      <c r="C14" t="s">
        <v>201</v>
      </c>
      <c r="D14" t="s">
        <v>2858</v>
      </c>
      <c r="E14" t="s">
        <v>2859</v>
      </c>
      <c r="G14" t="s">
        <v>521</v>
      </c>
      <c r="H14" t="s">
        <v>2860</v>
      </c>
      <c r="J14" t="s">
        <v>27</v>
      </c>
    </row>
    <row r="15" spans="1:12">
      <c r="E15" t="s">
        <v>2861</v>
      </c>
    </row>
    <row r="16" spans="1:12">
      <c r="A16" t="s">
        <v>2862</v>
      </c>
      <c r="B16" t="s">
        <v>433</v>
      </c>
      <c r="C16" t="s">
        <v>201</v>
      </c>
      <c r="D16" t="s">
        <v>2863</v>
      </c>
      <c r="E16" t="s">
        <v>2836</v>
      </c>
      <c r="G16" t="s">
        <v>26</v>
      </c>
      <c r="H16" t="s">
        <v>2864</v>
      </c>
      <c r="J16" t="s">
        <v>42</v>
      </c>
    </row>
    <row r="17" spans="1:10">
      <c r="E17" t="s">
        <v>2865</v>
      </c>
    </row>
    <row r="18" spans="1:10">
      <c r="A18" t="s">
        <v>2866</v>
      </c>
      <c r="B18" t="s">
        <v>433</v>
      </c>
      <c r="C18" t="s">
        <v>201</v>
      </c>
      <c r="D18" t="s">
        <v>2867</v>
      </c>
      <c r="E18" t="s">
        <v>2841</v>
      </c>
      <c r="G18" t="s">
        <v>26</v>
      </c>
      <c r="H18" t="s">
        <v>2868</v>
      </c>
      <c r="J18" t="s">
        <v>464</v>
      </c>
    </row>
    <row r="19" spans="1:10">
      <c r="E19" t="s">
        <v>2869</v>
      </c>
    </row>
    <row r="20" spans="1:10">
      <c r="A20" t="s">
        <v>2870</v>
      </c>
      <c r="B20" t="s">
        <v>433</v>
      </c>
      <c r="C20" t="s">
        <v>201</v>
      </c>
      <c r="D20" t="s">
        <v>2871</v>
      </c>
      <c r="E20" t="s">
        <v>2872</v>
      </c>
      <c r="G20" t="s">
        <v>26</v>
      </c>
      <c r="H20" t="s">
        <v>2873</v>
      </c>
      <c r="J20" t="s">
        <v>42</v>
      </c>
    </row>
    <row r="21" spans="1:10">
      <c r="E21" t="s">
        <v>2874</v>
      </c>
    </row>
  </sheetData>
  <pageMargins left="0.75" right="0.75" top="1" bottom="1" header="0.511811023622047" footer="0.511811023622047"/>
  <headerFooter/>
  <ignoredErrors>
    <ignoredError sqref="A1:L21" numberStoredAsText="1"/>
  </ignoredError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2875</v>
      </c>
      <c r="B2" t="s">
        <v>433</v>
      </c>
      <c r="C2" t="s">
        <v>216</v>
      </c>
      <c r="D2" t="s">
        <v>2876</v>
      </c>
      <c r="E2" t="s">
        <v>2877</v>
      </c>
      <c r="G2" t="s">
        <v>26</v>
      </c>
      <c r="H2" t="s">
        <v>2878</v>
      </c>
      <c r="J2" t="s">
        <v>27</v>
      </c>
    </row>
    <row r="3" spans="1:12">
      <c r="E3" t="s">
        <v>2879</v>
      </c>
    </row>
    <row r="4" spans="1:12">
      <c r="A4" t="s">
        <v>2880</v>
      </c>
      <c r="B4" t="s">
        <v>433</v>
      </c>
      <c r="C4" t="s">
        <v>216</v>
      </c>
      <c r="D4" t="s">
        <v>2881</v>
      </c>
      <c r="E4" t="s">
        <v>2882</v>
      </c>
      <c r="G4" t="s">
        <v>26</v>
      </c>
      <c r="H4" t="s">
        <v>2883</v>
      </c>
      <c r="J4" t="s">
        <v>27</v>
      </c>
    </row>
    <row r="5" spans="1:12">
      <c r="E5" t="s">
        <v>2884</v>
      </c>
    </row>
    <row r="6" spans="1:12">
      <c r="A6" t="s">
        <v>2885</v>
      </c>
      <c r="B6" t="s">
        <v>433</v>
      </c>
      <c r="C6" t="s">
        <v>216</v>
      </c>
      <c r="D6" t="s">
        <v>2886</v>
      </c>
      <c r="E6" t="s">
        <v>2887</v>
      </c>
      <c r="F6" t="s">
        <v>2888</v>
      </c>
      <c r="G6" t="s">
        <v>26</v>
      </c>
      <c r="H6" t="s">
        <v>2889</v>
      </c>
      <c r="J6" t="s">
        <v>27</v>
      </c>
    </row>
    <row r="7" spans="1:12">
      <c r="E7" t="s">
        <v>2890</v>
      </c>
    </row>
    <row r="8" spans="1:12">
      <c r="E8" t="s">
        <v>1262</v>
      </c>
    </row>
    <row r="9" spans="1:12">
      <c r="A9" t="s">
        <v>2891</v>
      </c>
      <c r="B9" t="s">
        <v>433</v>
      </c>
      <c r="C9" t="s">
        <v>216</v>
      </c>
      <c r="D9" t="s">
        <v>2892</v>
      </c>
      <c r="E9" t="s">
        <v>2882</v>
      </c>
      <c r="F9" t="s">
        <v>2893</v>
      </c>
      <c r="G9" t="s">
        <v>26</v>
      </c>
      <c r="H9" t="s">
        <v>2894</v>
      </c>
      <c r="J9" t="s">
        <v>42</v>
      </c>
    </row>
    <row r="10" spans="1:12">
      <c r="E10" t="s">
        <v>2895</v>
      </c>
    </row>
    <row r="11" spans="1:12">
      <c r="E11" t="s">
        <v>1262</v>
      </c>
    </row>
    <row r="12" spans="1:12">
      <c r="A12" t="s">
        <v>2896</v>
      </c>
      <c r="B12" t="s">
        <v>433</v>
      </c>
      <c r="C12" t="s">
        <v>216</v>
      </c>
      <c r="D12" t="s">
        <v>1270</v>
      </c>
      <c r="E12" t="s">
        <v>2882</v>
      </c>
      <c r="F12" t="s">
        <v>2897</v>
      </c>
      <c r="G12" t="s">
        <v>521</v>
      </c>
      <c r="H12" t="s">
        <v>2898</v>
      </c>
      <c r="J12" t="s">
        <v>42</v>
      </c>
    </row>
    <row r="13" spans="1:12">
      <c r="E13" t="s">
        <v>2899</v>
      </c>
    </row>
    <row r="14" spans="1:12">
      <c r="E14" t="s">
        <v>1262</v>
      </c>
    </row>
    <row r="15" spans="1:12">
      <c r="A15" t="s">
        <v>2900</v>
      </c>
      <c r="B15" t="s">
        <v>433</v>
      </c>
      <c r="C15" t="s">
        <v>216</v>
      </c>
      <c r="D15" t="s">
        <v>1275</v>
      </c>
      <c r="E15" t="s">
        <v>2882</v>
      </c>
      <c r="F15" t="s">
        <v>1276</v>
      </c>
      <c r="G15" t="s">
        <v>75</v>
      </c>
      <c r="H15" t="s">
        <v>1277</v>
      </c>
      <c r="J15" t="s">
        <v>27</v>
      </c>
    </row>
    <row r="16" spans="1:12">
      <c r="E16" t="s">
        <v>1278</v>
      </c>
    </row>
    <row r="17" spans="1:10">
      <c r="E17" t="s">
        <v>1279</v>
      </c>
    </row>
    <row r="18" spans="1:10">
      <c r="A18" t="s">
        <v>2901</v>
      </c>
      <c r="B18" t="s">
        <v>433</v>
      </c>
      <c r="C18" t="s">
        <v>216</v>
      </c>
      <c r="D18" t="s">
        <v>2902</v>
      </c>
      <c r="E18" t="s">
        <v>2903</v>
      </c>
      <c r="F18" t="s">
        <v>2904</v>
      </c>
      <c r="G18" t="s">
        <v>26</v>
      </c>
      <c r="H18" t="s">
        <v>2905</v>
      </c>
      <c r="J18" t="s">
        <v>27</v>
      </c>
    </row>
    <row r="19" spans="1:10">
      <c r="E19" t="s">
        <v>2906</v>
      </c>
    </row>
    <row r="20" spans="1:10">
      <c r="E20" t="s">
        <v>2907</v>
      </c>
    </row>
    <row r="21" spans="1:10">
      <c r="E21" t="s">
        <v>1262</v>
      </c>
    </row>
    <row r="22" spans="1:10">
      <c r="A22" t="s">
        <v>2908</v>
      </c>
      <c r="B22" t="s">
        <v>433</v>
      </c>
      <c r="C22" t="s">
        <v>216</v>
      </c>
      <c r="D22" t="s">
        <v>2909</v>
      </c>
      <c r="E22" t="s">
        <v>2910</v>
      </c>
      <c r="G22" t="s">
        <v>26</v>
      </c>
      <c r="H22" t="s">
        <v>2911</v>
      </c>
      <c r="J22" t="s">
        <v>42</v>
      </c>
    </row>
    <row r="23" spans="1:10">
      <c r="E23" t="s">
        <v>2912</v>
      </c>
    </row>
    <row r="24" spans="1:10">
      <c r="A24" t="s">
        <v>2913</v>
      </c>
      <c r="B24" t="s">
        <v>433</v>
      </c>
      <c r="C24" t="s">
        <v>216</v>
      </c>
      <c r="D24" t="s">
        <v>1291</v>
      </c>
      <c r="E24" t="s">
        <v>2914</v>
      </c>
      <c r="G24" t="s">
        <v>26</v>
      </c>
      <c r="H24" t="s">
        <v>2915</v>
      </c>
      <c r="J24" t="s">
        <v>42</v>
      </c>
    </row>
    <row r="25" spans="1:10">
      <c r="E25" t="s">
        <v>2916</v>
      </c>
    </row>
    <row r="26" spans="1:10">
      <c r="A26" t="s">
        <v>2917</v>
      </c>
      <c r="B26" t="s">
        <v>433</v>
      </c>
      <c r="C26" t="s">
        <v>216</v>
      </c>
      <c r="D26" t="s">
        <v>2918</v>
      </c>
      <c r="E26" t="s">
        <v>2919</v>
      </c>
      <c r="G26" t="s">
        <v>26</v>
      </c>
      <c r="H26" t="s">
        <v>2920</v>
      </c>
      <c r="J26" t="s">
        <v>464</v>
      </c>
    </row>
    <row r="27" spans="1:10">
      <c r="E27" t="s">
        <v>2921</v>
      </c>
    </row>
    <row r="28" spans="1:10">
      <c r="A28" t="s">
        <v>2922</v>
      </c>
      <c r="B28" t="s">
        <v>433</v>
      </c>
      <c r="C28" t="s">
        <v>216</v>
      </c>
      <c r="D28" t="s">
        <v>1296</v>
      </c>
      <c r="E28" t="s">
        <v>2923</v>
      </c>
      <c r="G28" t="s">
        <v>26</v>
      </c>
      <c r="H28" t="s">
        <v>2924</v>
      </c>
      <c r="J28" t="s">
        <v>42</v>
      </c>
    </row>
    <row r="29" spans="1:10">
      <c r="E29" t="s">
        <v>1299</v>
      </c>
    </row>
    <row r="30" spans="1:10">
      <c r="E30" t="s">
        <v>1300</v>
      </c>
    </row>
    <row r="31" spans="1:10">
      <c r="E31" t="s">
        <v>1301</v>
      </c>
    </row>
    <row r="32" spans="1:10">
      <c r="A32" t="s">
        <v>2925</v>
      </c>
      <c r="B32" t="s">
        <v>433</v>
      </c>
      <c r="C32" t="s">
        <v>216</v>
      </c>
      <c r="D32" t="s">
        <v>2926</v>
      </c>
      <c r="E32" t="s">
        <v>2882</v>
      </c>
      <c r="G32" t="s">
        <v>26</v>
      </c>
      <c r="H32" t="s">
        <v>2927</v>
      </c>
      <c r="J32" t="s">
        <v>27</v>
      </c>
    </row>
    <row r="33" spans="1:10">
      <c r="E33" t="s">
        <v>2928</v>
      </c>
    </row>
    <row r="34" spans="1:10">
      <c r="A34" t="s">
        <v>2929</v>
      </c>
      <c r="B34" t="s">
        <v>433</v>
      </c>
      <c r="C34" t="s">
        <v>216</v>
      </c>
      <c r="D34" t="s">
        <v>2930</v>
      </c>
      <c r="E34" t="s">
        <v>2882</v>
      </c>
      <c r="G34" t="s">
        <v>26</v>
      </c>
      <c r="H34" t="s">
        <v>2931</v>
      </c>
      <c r="J34" t="s">
        <v>42</v>
      </c>
    </row>
    <row r="35" spans="1:10">
      <c r="E35" t="s">
        <v>2932</v>
      </c>
    </row>
    <row r="36" spans="1:10">
      <c r="A36" t="s">
        <v>2933</v>
      </c>
      <c r="B36" t="s">
        <v>433</v>
      </c>
      <c r="C36" t="s">
        <v>216</v>
      </c>
      <c r="D36" t="s">
        <v>2934</v>
      </c>
      <c r="E36" t="s">
        <v>2935</v>
      </c>
      <c r="G36" t="s">
        <v>26</v>
      </c>
      <c r="H36" t="s">
        <v>2936</v>
      </c>
      <c r="J36" t="s">
        <v>27</v>
      </c>
    </row>
    <row r="37" spans="1:10">
      <c r="E37" t="s">
        <v>2937</v>
      </c>
    </row>
    <row r="38" spans="1:10">
      <c r="E38" t="s">
        <v>2938</v>
      </c>
    </row>
    <row r="39" spans="1:10">
      <c r="E39" t="s">
        <v>2939</v>
      </c>
    </row>
    <row r="40" spans="1:10">
      <c r="A40" t="s">
        <v>2940</v>
      </c>
      <c r="B40" t="s">
        <v>433</v>
      </c>
      <c r="C40" t="s">
        <v>216</v>
      </c>
      <c r="D40" t="s">
        <v>2941</v>
      </c>
      <c r="E40" t="s">
        <v>2942</v>
      </c>
      <c r="G40" t="s">
        <v>75</v>
      </c>
      <c r="H40" t="s">
        <v>2943</v>
      </c>
      <c r="J40" t="s">
        <v>27</v>
      </c>
    </row>
    <row r="41" spans="1:10">
      <c r="E41" t="s">
        <v>2944</v>
      </c>
    </row>
    <row r="42" spans="1:10">
      <c r="A42" t="s">
        <v>2945</v>
      </c>
      <c r="B42" t="s">
        <v>433</v>
      </c>
      <c r="C42" t="s">
        <v>216</v>
      </c>
      <c r="D42" t="s">
        <v>2946</v>
      </c>
      <c r="E42" t="s">
        <v>2882</v>
      </c>
      <c r="G42" t="s">
        <v>26</v>
      </c>
      <c r="H42" t="s">
        <v>2947</v>
      </c>
      <c r="J42" t="s">
        <v>464</v>
      </c>
    </row>
    <row r="43" spans="1:10">
      <c r="E43" t="s">
        <v>2948</v>
      </c>
    </row>
    <row r="44" spans="1:10">
      <c r="A44" t="s">
        <v>2949</v>
      </c>
      <c r="B44" t="s">
        <v>433</v>
      </c>
      <c r="C44" t="s">
        <v>216</v>
      </c>
      <c r="D44" t="s">
        <v>2950</v>
      </c>
      <c r="E44" t="s">
        <v>2882</v>
      </c>
      <c r="G44" t="s">
        <v>26</v>
      </c>
      <c r="H44" t="s">
        <v>2951</v>
      </c>
      <c r="J44" t="s">
        <v>464</v>
      </c>
    </row>
    <row r="45" spans="1:10">
      <c r="E45" t="s">
        <v>2952</v>
      </c>
    </row>
    <row r="46" spans="1:10">
      <c r="A46" t="s">
        <v>2953</v>
      </c>
      <c r="B46" t="s">
        <v>433</v>
      </c>
      <c r="C46" t="s">
        <v>216</v>
      </c>
      <c r="D46" t="s">
        <v>2954</v>
      </c>
      <c r="E46" t="s">
        <v>2955</v>
      </c>
      <c r="G46" t="s">
        <v>26</v>
      </c>
      <c r="H46" t="s">
        <v>2956</v>
      </c>
      <c r="J46" t="s">
        <v>464</v>
      </c>
    </row>
    <row r="47" spans="1:10">
      <c r="E47" t="s">
        <v>2957</v>
      </c>
    </row>
    <row r="48" spans="1:10">
      <c r="A48" t="s">
        <v>2958</v>
      </c>
      <c r="B48" t="s">
        <v>433</v>
      </c>
      <c r="C48" t="s">
        <v>216</v>
      </c>
      <c r="D48" t="s">
        <v>2959</v>
      </c>
      <c r="E48" t="s">
        <v>2882</v>
      </c>
      <c r="G48" t="s">
        <v>26</v>
      </c>
      <c r="H48" t="s">
        <v>2960</v>
      </c>
      <c r="J48" t="s">
        <v>464</v>
      </c>
    </row>
    <row r="49" spans="5:5">
      <c r="E49" t="s">
        <v>1331</v>
      </c>
    </row>
  </sheetData>
  <pageMargins left="0.75" right="0.75" top="1" bottom="1" header="0.511811023622047" footer="0.511811023622047"/>
  <headerFooter/>
  <ignoredErrors>
    <ignoredError sqref="A1:L49" numberStoredAsText="1"/>
  </ignoredError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2961</v>
      </c>
      <c r="B2" t="s">
        <v>433</v>
      </c>
      <c r="C2" t="s">
        <v>220</v>
      </c>
      <c r="D2" t="s">
        <v>2962</v>
      </c>
      <c r="E2" t="s">
        <v>2963</v>
      </c>
      <c r="G2" t="s">
        <v>26</v>
      </c>
      <c r="H2" t="s">
        <v>2964</v>
      </c>
      <c r="J2" t="s">
        <v>27</v>
      </c>
    </row>
    <row r="3" spans="1:12">
      <c r="E3" t="s">
        <v>1395</v>
      </c>
    </row>
    <row r="4" spans="1:12">
      <c r="A4" t="s">
        <v>2965</v>
      </c>
      <c r="B4" t="s">
        <v>433</v>
      </c>
      <c r="C4" t="s">
        <v>220</v>
      </c>
      <c r="D4" t="s">
        <v>2966</v>
      </c>
      <c r="E4" t="s">
        <v>2967</v>
      </c>
      <c r="F4" t="s">
        <v>2968</v>
      </c>
      <c r="G4" t="s">
        <v>26</v>
      </c>
      <c r="H4" t="s">
        <v>2969</v>
      </c>
      <c r="J4" t="s">
        <v>27</v>
      </c>
    </row>
    <row r="5" spans="1:12">
      <c r="E5" t="s">
        <v>2970</v>
      </c>
    </row>
    <row r="6" spans="1:12">
      <c r="E6" t="s">
        <v>714</v>
      </c>
    </row>
    <row r="7" spans="1:12">
      <c r="A7" t="s">
        <v>2971</v>
      </c>
      <c r="B7" t="s">
        <v>433</v>
      </c>
      <c r="C7" t="s">
        <v>220</v>
      </c>
      <c r="D7" t="s">
        <v>2972</v>
      </c>
      <c r="E7" t="s">
        <v>2973</v>
      </c>
      <c r="G7" t="s">
        <v>26</v>
      </c>
      <c r="H7" t="s">
        <v>2974</v>
      </c>
      <c r="J7" t="s">
        <v>42</v>
      </c>
    </row>
    <row r="8" spans="1:12">
      <c r="E8" t="s">
        <v>2975</v>
      </c>
    </row>
    <row r="9" spans="1:12">
      <c r="A9" t="s">
        <v>2976</v>
      </c>
      <c r="B9" t="s">
        <v>433</v>
      </c>
      <c r="C9" t="s">
        <v>220</v>
      </c>
      <c r="D9" t="s">
        <v>2570</v>
      </c>
      <c r="E9" t="s">
        <v>2571</v>
      </c>
      <c r="G9" t="s">
        <v>26</v>
      </c>
      <c r="H9" t="s">
        <v>2572</v>
      </c>
      <c r="J9" t="s">
        <v>42</v>
      </c>
    </row>
    <row r="10" spans="1:12">
      <c r="E10" t="s">
        <v>2977</v>
      </c>
    </row>
    <row r="11" spans="1:12">
      <c r="E11" t="s">
        <v>2574</v>
      </c>
    </row>
    <row r="12" spans="1:12">
      <c r="A12" t="s">
        <v>2978</v>
      </c>
      <c r="B12" t="s">
        <v>433</v>
      </c>
      <c r="C12" t="s">
        <v>220</v>
      </c>
      <c r="D12" t="s">
        <v>2979</v>
      </c>
      <c r="E12" t="s">
        <v>2967</v>
      </c>
      <c r="G12" t="s">
        <v>521</v>
      </c>
      <c r="H12" t="s">
        <v>2980</v>
      </c>
      <c r="J12" t="s">
        <v>27</v>
      </c>
    </row>
    <row r="13" spans="1:12">
      <c r="E13" t="s">
        <v>2981</v>
      </c>
    </row>
    <row r="14" spans="1:12">
      <c r="E14" t="s">
        <v>2982</v>
      </c>
    </row>
    <row r="15" spans="1:12">
      <c r="E15" t="s">
        <v>2983</v>
      </c>
    </row>
    <row r="16" spans="1:12">
      <c r="A16" t="s">
        <v>2984</v>
      </c>
      <c r="B16" t="s">
        <v>433</v>
      </c>
      <c r="C16" t="s">
        <v>220</v>
      </c>
      <c r="D16" t="s">
        <v>2985</v>
      </c>
      <c r="E16" t="s">
        <v>2967</v>
      </c>
      <c r="G16" t="s">
        <v>521</v>
      </c>
      <c r="H16" t="s">
        <v>2986</v>
      </c>
      <c r="J16" t="s">
        <v>27</v>
      </c>
    </row>
    <row r="17" spans="1:10">
      <c r="E17" t="s">
        <v>2987</v>
      </c>
    </row>
    <row r="18" spans="1:10">
      <c r="E18" t="s">
        <v>2982</v>
      </c>
    </row>
    <row r="19" spans="1:10">
      <c r="E19" t="s">
        <v>2983</v>
      </c>
    </row>
    <row r="20" spans="1:10">
      <c r="A20" t="s">
        <v>2988</v>
      </c>
      <c r="B20" t="s">
        <v>433</v>
      </c>
      <c r="C20" t="s">
        <v>220</v>
      </c>
      <c r="D20" t="s">
        <v>2989</v>
      </c>
      <c r="E20" t="s">
        <v>2967</v>
      </c>
      <c r="F20" t="s">
        <v>2990</v>
      </c>
      <c r="G20" t="s">
        <v>521</v>
      </c>
      <c r="H20" t="s">
        <v>2991</v>
      </c>
      <c r="J20" t="s">
        <v>42</v>
      </c>
    </row>
    <row r="21" spans="1:10">
      <c r="E21" t="s">
        <v>2992</v>
      </c>
    </row>
    <row r="22" spans="1:10">
      <c r="E22" t="s">
        <v>2983</v>
      </c>
    </row>
    <row r="23" spans="1:10">
      <c r="A23" t="s">
        <v>2993</v>
      </c>
      <c r="B23" t="s">
        <v>433</v>
      </c>
      <c r="C23" t="s">
        <v>220</v>
      </c>
      <c r="D23" t="s">
        <v>2994</v>
      </c>
      <c r="E23" t="s">
        <v>2995</v>
      </c>
      <c r="F23" t="s">
        <v>2996</v>
      </c>
      <c r="G23" t="s">
        <v>521</v>
      </c>
      <c r="H23" t="s">
        <v>2997</v>
      </c>
      <c r="J23" t="s">
        <v>27</v>
      </c>
    </row>
    <row r="24" spans="1:10">
      <c r="E24" t="s">
        <v>2998</v>
      </c>
    </row>
    <row r="25" spans="1:10">
      <c r="E25" t="s">
        <v>2983</v>
      </c>
    </row>
    <row r="26" spans="1:10">
      <c r="A26" t="s">
        <v>2999</v>
      </c>
      <c r="B26" t="s">
        <v>433</v>
      </c>
      <c r="C26" t="s">
        <v>220</v>
      </c>
      <c r="D26" t="s">
        <v>3000</v>
      </c>
      <c r="E26" t="s">
        <v>2967</v>
      </c>
      <c r="G26" t="s">
        <v>26</v>
      </c>
      <c r="H26" t="s">
        <v>3001</v>
      </c>
      <c r="J26" t="s">
        <v>27</v>
      </c>
    </row>
    <row r="27" spans="1:10">
      <c r="E27" t="s">
        <v>3002</v>
      </c>
    </row>
    <row r="28" spans="1:10">
      <c r="E28" t="s">
        <v>3003</v>
      </c>
    </row>
    <row r="29" spans="1:10">
      <c r="A29" t="s">
        <v>3004</v>
      </c>
      <c r="B29" t="s">
        <v>433</v>
      </c>
      <c r="C29" t="s">
        <v>220</v>
      </c>
      <c r="D29" t="s">
        <v>3005</v>
      </c>
      <c r="E29" t="s">
        <v>2967</v>
      </c>
      <c r="G29" t="s">
        <v>26</v>
      </c>
      <c r="H29" t="s">
        <v>3006</v>
      </c>
      <c r="J29" t="s">
        <v>42</v>
      </c>
    </row>
    <row r="30" spans="1:10">
      <c r="E30" t="s">
        <v>3007</v>
      </c>
    </row>
    <row r="31" spans="1:10">
      <c r="E31" t="s">
        <v>3008</v>
      </c>
    </row>
    <row r="32" spans="1:10">
      <c r="A32" t="s">
        <v>3009</v>
      </c>
      <c r="B32" t="s">
        <v>433</v>
      </c>
      <c r="C32" t="s">
        <v>220</v>
      </c>
      <c r="D32" t="s">
        <v>3010</v>
      </c>
      <c r="E32" t="s">
        <v>3011</v>
      </c>
      <c r="G32" t="s">
        <v>26</v>
      </c>
      <c r="H32" t="s">
        <v>3012</v>
      </c>
      <c r="J32" t="s">
        <v>42</v>
      </c>
    </row>
    <row r="33" spans="1:10">
      <c r="E33" t="s">
        <v>3013</v>
      </c>
    </row>
    <row r="34" spans="1:10">
      <c r="E34" t="s">
        <v>3014</v>
      </c>
    </row>
    <row r="35" spans="1:10">
      <c r="A35" t="s">
        <v>3015</v>
      </c>
      <c r="B35" t="s">
        <v>433</v>
      </c>
      <c r="C35" t="s">
        <v>220</v>
      </c>
      <c r="D35" t="s">
        <v>3016</v>
      </c>
      <c r="E35" t="s">
        <v>3017</v>
      </c>
      <c r="G35" t="s">
        <v>26</v>
      </c>
      <c r="H35" t="s">
        <v>3018</v>
      </c>
      <c r="J35" t="s">
        <v>27</v>
      </c>
    </row>
    <row r="36" spans="1:10">
      <c r="E36" t="s">
        <v>3019</v>
      </c>
    </row>
    <row r="37" spans="1:10">
      <c r="E37" t="s">
        <v>3020</v>
      </c>
    </row>
    <row r="38" spans="1:10">
      <c r="E38" t="s">
        <v>3021</v>
      </c>
    </row>
    <row r="39" spans="1:10">
      <c r="A39" t="s">
        <v>3022</v>
      </c>
      <c r="B39" t="s">
        <v>433</v>
      </c>
      <c r="C39" t="s">
        <v>220</v>
      </c>
      <c r="D39" t="s">
        <v>3023</v>
      </c>
      <c r="E39" t="s">
        <v>2967</v>
      </c>
      <c r="G39" t="s">
        <v>26</v>
      </c>
      <c r="H39" t="s">
        <v>3024</v>
      </c>
      <c r="J39" t="s">
        <v>42</v>
      </c>
    </row>
    <row r="40" spans="1:10">
      <c r="E40" t="s">
        <v>3025</v>
      </c>
    </row>
    <row r="41" spans="1:10">
      <c r="E41" t="s">
        <v>3026</v>
      </c>
    </row>
    <row r="42" spans="1:10">
      <c r="A42" t="s">
        <v>3027</v>
      </c>
      <c r="B42" t="s">
        <v>433</v>
      </c>
      <c r="C42" t="s">
        <v>220</v>
      </c>
      <c r="D42" t="s">
        <v>3028</v>
      </c>
      <c r="E42" t="s">
        <v>3029</v>
      </c>
      <c r="G42" t="s">
        <v>521</v>
      </c>
      <c r="H42" t="s">
        <v>3030</v>
      </c>
      <c r="J42" t="s">
        <v>42</v>
      </c>
    </row>
    <row r="43" spans="1:10">
      <c r="E43" t="s">
        <v>3031</v>
      </c>
    </row>
    <row r="44" spans="1:10">
      <c r="E44" t="s">
        <v>2983</v>
      </c>
    </row>
    <row r="45" spans="1:10">
      <c r="A45" t="s">
        <v>3032</v>
      </c>
      <c r="B45" t="s">
        <v>433</v>
      </c>
      <c r="C45" t="s">
        <v>220</v>
      </c>
      <c r="D45" t="s">
        <v>3033</v>
      </c>
      <c r="E45" t="s">
        <v>3034</v>
      </c>
      <c r="G45" t="s">
        <v>26</v>
      </c>
      <c r="H45" t="s">
        <v>3035</v>
      </c>
      <c r="J45" t="s">
        <v>464</v>
      </c>
    </row>
    <row r="46" spans="1:10">
      <c r="E46" t="s">
        <v>3036</v>
      </c>
    </row>
    <row r="47" spans="1:10">
      <c r="E47" t="s">
        <v>3037</v>
      </c>
    </row>
    <row r="48" spans="1:10">
      <c r="A48" t="s">
        <v>3038</v>
      </c>
      <c r="B48" t="s">
        <v>433</v>
      </c>
      <c r="C48" t="s">
        <v>220</v>
      </c>
      <c r="D48" t="s">
        <v>3039</v>
      </c>
      <c r="E48" t="s">
        <v>3040</v>
      </c>
      <c r="G48" t="s">
        <v>26</v>
      </c>
      <c r="H48" t="s">
        <v>3041</v>
      </c>
      <c r="J48" t="s">
        <v>27</v>
      </c>
    </row>
    <row r="49" spans="1:10">
      <c r="E49" t="s">
        <v>2983</v>
      </c>
    </row>
    <row r="50" spans="1:10">
      <c r="E50" t="s">
        <v>3042</v>
      </c>
    </row>
    <row r="51" spans="1:10">
      <c r="E51" t="s">
        <v>3043</v>
      </c>
    </row>
    <row r="52" spans="1:10">
      <c r="A52" t="s">
        <v>3044</v>
      </c>
      <c r="B52" t="s">
        <v>433</v>
      </c>
      <c r="C52" t="s">
        <v>220</v>
      </c>
      <c r="D52" t="s">
        <v>3045</v>
      </c>
      <c r="E52" t="s">
        <v>3046</v>
      </c>
      <c r="G52" t="s">
        <v>26</v>
      </c>
      <c r="H52" t="s">
        <v>3047</v>
      </c>
      <c r="J52" t="s">
        <v>42</v>
      </c>
    </row>
    <row r="53" spans="1:10">
      <c r="E53" t="s">
        <v>3048</v>
      </c>
    </row>
    <row r="54" spans="1:10">
      <c r="A54" t="s">
        <v>3049</v>
      </c>
      <c r="B54" t="s">
        <v>433</v>
      </c>
      <c r="C54" t="s">
        <v>220</v>
      </c>
      <c r="D54" t="s">
        <v>2607</v>
      </c>
      <c r="E54" t="s">
        <v>2967</v>
      </c>
      <c r="G54" t="s">
        <v>26</v>
      </c>
      <c r="H54" t="s">
        <v>3050</v>
      </c>
      <c r="J54" t="s">
        <v>42</v>
      </c>
    </row>
    <row r="55" spans="1:10">
      <c r="E55" t="s">
        <v>3051</v>
      </c>
    </row>
    <row r="56" spans="1:10">
      <c r="E56" t="s">
        <v>3052</v>
      </c>
    </row>
    <row r="57" spans="1:10">
      <c r="E57" t="s">
        <v>2611</v>
      </c>
    </row>
    <row r="58" spans="1:10">
      <c r="A58" t="s">
        <v>3053</v>
      </c>
      <c r="B58" t="s">
        <v>433</v>
      </c>
      <c r="C58" t="s">
        <v>220</v>
      </c>
      <c r="D58" t="s">
        <v>1540</v>
      </c>
      <c r="E58" t="s">
        <v>3054</v>
      </c>
      <c r="G58" t="s">
        <v>26</v>
      </c>
      <c r="H58" t="s">
        <v>3055</v>
      </c>
      <c r="J58" t="s">
        <v>42</v>
      </c>
    </row>
    <row r="59" spans="1:10">
      <c r="E59" t="s">
        <v>1543</v>
      </c>
    </row>
    <row r="60" spans="1:10">
      <c r="A60" t="s">
        <v>3056</v>
      </c>
      <c r="B60" t="s">
        <v>433</v>
      </c>
      <c r="C60" t="s">
        <v>220</v>
      </c>
      <c r="D60" t="s">
        <v>3057</v>
      </c>
      <c r="E60" t="s">
        <v>2967</v>
      </c>
      <c r="F60" t="s">
        <v>1546</v>
      </c>
      <c r="G60" t="s">
        <v>75</v>
      </c>
      <c r="H60" t="s">
        <v>1547</v>
      </c>
      <c r="J60" t="s">
        <v>27</v>
      </c>
    </row>
    <row r="61" spans="1:10">
      <c r="E61" t="s">
        <v>3058</v>
      </c>
    </row>
    <row r="62" spans="1:10">
      <c r="E62" t="s">
        <v>1549</v>
      </c>
    </row>
  </sheetData>
  <pageMargins left="0.75" right="0.75" top="1" bottom="1" header="0.511811023622047" footer="0.511811023622047"/>
  <headerFooter/>
  <ignoredErrors>
    <ignoredError sqref="A1:L62" numberStoredAsText="1"/>
  </ignoredError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5"/>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3059</v>
      </c>
      <c r="B2" t="s">
        <v>433</v>
      </c>
      <c r="C2" t="s">
        <v>225</v>
      </c>
      <c r="D2" t="s">
        <v>3060</v>
      </c>
      <c r="E2" t="s">
        <v>3061</v>
      </c>
      <c r="G2" t="s">
        <v>26</v>
      </c>
      <c r="H2" t="s">
        <v>3062</v>
      </c>
      <c r="J2" t="s">
        <v>27</v>
      </c>
    </row>
    <row r="3" spans="1:12">
      <c r="E3" t="s">
        <v>3063</v>
      </c>
    </row>
    <row r="4" spans="1:12">
      <c r="A4" t="s">
        <v>3064</v>
      </c>
      <c r="B4" t="s">
        <v>433</v>
      </c>
      <c r="C4" t="s">
        <v>225</v>
      </c>
      <c r="D4" t="s">
        <v>3065</v>
      </c>
      <c r="E4" t="s">
        <v>3066</v>
      </c>
      <c r="G4" t="s">
        <v>26</v>
      </c>
      <c r="H4" t="s">
        <v>3067</v>
      </c>
      <c r="J4" t="s">
        <v>42</v>
      </c>
    </row>
    <row r="5" spans="1:12">
      <c r="E5" t="s">
        <v>3068</v>
      </c>
    </row>
    <row r="6" spans="1:12">
      <c r="A6" t="s">
        <v>3069</v>
      </c>
      <c r="B6" t="s">
        <v>433</v>
      </c>
      <c r="C6" t="s">
        <v>225</v>
      </c>
      <c r="D6" t="s">
        <v>3070</v>
      </c>
      <c r="E6" t="s">
        <v>3071</v>
      </c>
      <c r="G6" t="s">
        <v>26</v>
      </c>
      <c r="H6" t="s">
        <v>3072</v>
      </c>
      <c r="J6" t="s">
        <v>27</v>
      </c>
    </row>
    <row r="7" spans="1:12">
      <c r="E7" t="s">
        <v>3073</v>
      </c>
    </row>
    <row r="8" spans="1:12">
      <c r="A8" t="s">
        <v>3074</v>
      </c>
      <c r="B8" t="s">
        <v>433</v>
      </c>
      <c r="C8" t="s">
        <v>225</v>
      </c>
      <c r="D8" t="s">
        <v>3075</v>
      </c>
      <c r="E8" t="s">
        <v>3076</v>
      </c>
      <c r="G8" t="s">
        <v>26</v>
      </c>
      <c r="H8" t="s">
        <v>3077</v>
      </c>
      <c r="J8" t="s">
        <v>27</v>
      </c>
    </row>
    <row r="9" spans="1:12">
      <c r="E9" t="s">
        <v>3078</v>
      </c>
    </row>
    <row r="10" spans="1:12">
      <c r="A10" t="s">
        <v>3079</v>
      </c>
      <c r="B10" t="s">
        <v>433</v>
      </c>
      <c r="C10" t="s">
        <v>225</v>
      </c>
      <c r="D10" t="s">
        <v>3080</v>
      </c>
      <c r="E10" t="s">
        <v>3081</v>
      </c>
      <c r="G10" t="s">
        <v>26</v>
      </c>
      <c r="H10" t="s">
        <v>3082</v>
      </c>
      <c r="J10" t="s">
        <v>464</v>
      </c>
    </row>
    <row r="11" spans="1:12">
      <c r="E11" t="s">
        <v>3083</v>
      </c>
    </row>
    <row r="12" spans="1:12">
      <c r="A12" t="s">
        <v>3084</v>
      </c>
      <c r="B12" t="s">
        <v>433</v>
      </c>
      <c r="C12" t="s">
        <v>225</v>
      </c>
      <c r="D12" t="s">
        <v>3085</v>
      </c>
      <c r="E12" t="s">
        <v>3086</v>
      </c>
      <c r="G12" t="s">
        <v>26</v>
      </c>
      <c r="H12" t="s">
        <v>3087</v>
      </c>
      <c r="J12" t="s">
        <v>464</v>
      </c>
    </row>
    <row r="13" spans="1:12">
      <c r="E13" t="s">
        <v>3088</v>
      </c>
    </row>
    <row r="14" spans="1:12">
      <c r="A14" t="s">
        <v>3089</v>
      </c>
      <c r="B14" t="s">
        <v>433</v>
      </c>
      <c r="C14" t="s">
        <v>225</v>
      </c>
      <c r="D14" t="s">
        <v>3090</v>
      </c>
      <c r="E14" t="s">
        <v>3091</v>
      </c>
      <c r="G14" t="s">
        <v>26</v>
      </c>
      <c r="H14" t="s">
        <v>3092</v>
      </c>
      <c r="J14" t="s">
        <v>27</v>
      </c>
    </row>
    <row r="15" spans="1:12">
      <c r="E15" t="s">
        <v>3093</v>
      </c>
    </row>
    <row r="16" spans="1:12">
      <c r="A16" t="s">
        <v>3094</v>
      </c>
      <c r="B16" t="s">
        <v>433</v>
      </c>
      <c r="C16" t="s">
        <v>225</v>
      </c>
      <c r="D16" t="s">
        <v>3095</v>
      </c>
      <c r="E16" t="s">
        <v>3096</v>
      </c>
      <c r="G16" t="s">
        <v>26</v>
      </c>
      <c r="H16" t="s">
        <v>3097</v>
      </c>
      <c r="J16" t="s">
        <v>42</v>
      </c>
    </row>
    <row r="17" spans="1:10">
      <c r="E17" t="s">
        <v>3098</v>
      </c>
    </row>
    <row r="18" spans="1:10">
      <c r="A18" t="s">
        <v>3099</v>
      </c>
      <c r="B18" t="s">
        <v>433</v>
      </c>
      <c r="C18" t="s">
        <v>225</v>
      </c>
      <c r="D18" t="s">
        <v>3100</v>
      </c>
      <c r="E18" t="s">
        <v>3066</v>
      </c>
      <c r="G18" t="s">
        <v>26</v>
      </c>
      <c r="H18" t="s">
        <v>3101</v>
      </c>
      <c r="J18" t="s">
        <v>42</v>
      </c>
    </row>
    <row r="19" spans="1:10">
      <c r="E19" t="s">
        <v>3102</v>
      </c>
    </row>
    <row r="20" spans="1:10">
      <c r="E20" t="s">
        <v>3103</v>
      </c>
    </row>
    <row r="21" spans="1:10">
      <c r="E21" t="s">
        <v>1321</v>
      </c>
    </row>
    <row r="22" spans="1:10">
      <c r="A22" t="s">
        <v>3104</v>
      </c>
      <c r="B22" t="s">
        <v>433</v>
      </c>
      <c r="C22" t="s">
        <v>225</v>
      </c>
      <c r="D22" t="s">
        <v>3105</v>
      </c>
      <c r="E22" t="s">
        <v>3066</v>
      </c>
      <c r="G22" t="s">
        <v>26</v>
      </c>
      <c r="H22" t="s">
        <v>3106</v>
      </c>
      <c r="J22" t="s">
        <v>27</v>
      </c>
    </row>
    <row r="23" spans="1:10">
      <c r="E23" t="s">
        <v>3107</v>
      </c>
    </row>
    <row r="24" spans="1:10">
      <c r="A24" t="s">
        <v>3108</v>
      </c>
      <c r="B24" t="s">
        <v>433</v>
      </c>
      <c r="C24" t="s">
        <v>225</v>
      </c>
      <c r="D24" t="s">
        <v>3109</v>
      </c>
      <c r="E24" t="s">
        <v>3110</v>
      </c>
      <c r="G24" t="s">
        <v>521</v>
      </c>
      <c r="H24" t="s">
        <v>3111</v>
      </c>
      <c r="J24" t="s">
        <v>27</v>
      </c>
    </row>
    <row r="25" spans="1:10">
      <c r="E25" t="s">
        <v>3112</v>
      </c>
    </row>
    <row r="26" spans="1:10">
      <c r="E26" t="s">
        <v>3113</v>
      </c>
    </row>
    <row r="27" spans="1:10">
      <c r="E27" t="s">
        <v>3114</v>
      </c>
    </row>
    <row r="28" spans="1:10">
      <c r="A28" t="s">
        <v>3115</v>
      </c>
      <c r="B28" t="s">
        <v>433</v>
      </c>
      <c r="C28" t="s">
        <v>225</v>
      </c>
      <c r="D28" t="s">
        <v>3116</v>
      </c>
      <c r="E28" t="s">
        <v>3117</v>
      </c>
      <c r="G28" t="s">
        <v>26</v>
      </c>
      <c r="H28" t="s">
        <v>3118</v>
      </c>
      <c r="J28" t="s">
        <v>464</v>
      </c>
    </row>
    <row r="29" spans="1:10">
      <c r="E29" t="s">
        <v>3119</v>
      </c>
    </row>
    <row r="30" spans="1:10">
      <c r="A30" t="s">
        <v>3120</v>
      </c>
      <c r="B30" t="s">
        <v>433</v>
      </c>
      <c r="C30" t="s">
        <v>225</v>
      </c>
      <c r="D30" t="s">
        <v>3121</v>
      </c>
      <c r="E30" t="s">
        <v>3122</v>
      </c>
      <c r="G30" t="s">
        <v>26</v>
      </c>
      <c r="H30" t="s">
        <v>3123</v>
      </c>
      <c r="J30" t="s">
        <v>464</v>
      </c>
    </row>
    <row r="31" spans="1:10">
      <c r="E31" t="s">
        <v>3124</v>
      </c>
    </row>
    <row r="32" spans="1:10">
      <c r="A32" t="s">
        <v>3125</v>
      </c>
      <c r="B32" t="s">
        <v>433</v>
      </c>
      <c r="C32" t="s">
        <v>225</v>
      </c>
      <c r="D32" t="s">
        <v>3126</v>
      </c>
      <c r="E32" t="s">
        <v>3127</v>
      </c>
      <c r="G32" t="s">
        <v>26</v>
      </c>
      <c r="H32" t="s">
        <v>3128</v>
      </c>
      <c r="J32" t="s">
        <v>42</v>
      </c>
    </row>
    <row r="33" spans="1:10">
      <c r="E33" t="s">
        <v>3129</v>
      </c>
    </row>
    <row r="34" spans="1:10">
      <c r="A34" t="s">
        <v>3130</v>
      </c>
      <c r="B34" t="s">
        <v>433</v>
      </c>
      <c r="C34" t="s">
        <v>225</v>
      </c>
      <c r="D34" t="s">
        <v>3131</v>
      </c>
      <c r="E34" t="s">
        <v>3122</v>
      </c>
      <c r="G34" t="s">
        <v>26</v>
      </c>
      <c r="H34" t="s">
        <v>3132</v>
      </c>
      <c r="J34" t="s">
        <v>464</v>
      </c>
    </row>
    <row r="35" spans="1:10">
      <c r="E35" t="s">
        <v>3133</v>
      </c>
    </row>
    <row r="36" spans="1:10">
      <c r="E36" t="s">
        <v>3134</v>
      </c>
    </row>
    <row r="37" spans="1:10">
      <c r="A37" t="s">
        <v>3135</v>
      </c>
      <c r="B37" t="s">
        <v>433</v>
      </c>
      <c r="C37" t="s">
        <v>225</v>
      </c>
      <c r="D37" t="s">
        <v>3136</v>
      </c>
      <c r="E37" t="s">
        <v>3122</v>
      </c>
      <c r="G37" t="s">
        <v>26</v>
      </c>
      <c r="H37" t="s">
        <v>3137</v>
      </c>
      <c r="J37" t="s">
        <v>42</v>
      </c>
    </row>
    <row r="38" spans="1:10">
      <c r="E38" t="s">
        <v>3138</v>
      </c>
    </row>
    <row r="39" spans="1:10">
      <c r="E39" t="s">
        <v>3114</v>
      </c>
    </row>
    <row r="40" spans="1:10">
      <c r="E40" t="s">
        <v>3139</v>
      </c>
    </row>
    <row r="41" spans="1:10">
      <c r="A41" t="s">
        <v>3140</v>
      </c>
      <c r="B41" t="s">
        <v>433</v>
      </c>
      <c r="C41" t="s">
        <v>225</v>
      </c>
      <c r="D41" t="s">
        <v>3141</v>
      </c>
      <c r="E41" t="s">
        <v>3142</v>
      </c>
      <c r="G41" t="s">
        <v>26</v>
      </c>
      <c r="H41" t="s">
        <v>3143</v>
      </c>
      <c r="J41" t="s">
        <v>27</v>
      </c>
    </row>
    <row r="42" spans="1:10">
      <c r="E42" t="s">
        <v>3114</v>
      </c>
    </row>
    <row r="43" spans="1:10">
      <c r="E43" t="s">
        <v>3078</v>
      </c>
    </row>
    <row r="44" spans="1:10">
      <c r="A44" t="s">
        <v>3144</v>
      </c>
      <c r="B44" t="s">
        <v>433</v>
      </c>
      <c r="C44" t="s">
        <v>225</v>
      </c>
      <c r="D44" t="s">
        <v>3145</v>
      </c>
      <c r="E44" t="s">
        <v>3146</v>
      </c>
      <c r="G44" t="s">
        <v>26</v>
      </c>
      <c r="H44" t="s">
        <v>3147</v>
      </c>
      <c r="J44" t="s">
        <v>464</v>
      </c>
    </row>
    <row r="45" spans="1:10">
      <c r="E45" t="s">
        <v>3148</v>
      </c>
    </row>
    <row r="46" spans="1:10">
      <c r="A46" t="s">
        <v>3149</v>
      </c>
      <c r="B46" t="s">
        <v>433</v>
      </c>
      <c r="C46" t="s">
        <v>225</v>
      </c>
      <c r="D46" t="s">
        <v>3150</v>
      </c>
      <c r="E46" t="s">
        <v>3151</v>
      </c>
      <c r="G46" t="s">
        <v>26</v>
      </c>
      <c r="H46" t="s">
        <v>3152</v>
      </c>
      <c r="J46" t="s">
        <v>42</v>
      </c>
    </row>
    <row r="47" spans="1:10">
      <c r="E47" t="s">
        <v>3153</v>
      </c>
    </row>
    <row r="48" spans="1:10">
      <c r="E48" t="s">
        <v>3154</v>
      </c>
    </row>
    <row r="49" spans="1:10">
      <c r="E49" t="s">
        <v>3155</v>
      </c>
    </row>
    <row r="50" spans="1:10">
      <c r="A50" t="s">
        <v>3156</v>
      </c>
      <c r="B50" t="s">
        <v>433</v>
      </c>
      <c r="C50" t="s">
        <v>225</v>
      </c>
      <c r="D50" t="s">
        <v>3157</v>
      </c>
      <c r="E50" t="s">
        <v>3122</v>
      </c>
      <c r="G50" t="s">
        <v>521</v>
      </c>
      <c r="H50" t="s">
        <v>3158</v>
      </c>
      <c r="J50" t="s">
        <v>27</v>
      </c>
    </row>
    <row r="51" spans="1:10">
      <c r="E51" t="s">
        <v>3159</v>
      </c>
    </row>
    <row r="52" spans="1:10">
      <c r="E52" t="s">
        <v>3114</v>
      </c>
    </row>
    <row r="53" spans="1:10">
      <c r="A53" t="s">
        <v>3160</v>
      </c>
      <c r="B53" t="s">
        <v>433</v>
      </c>
      <c r="C53" t="s">
        <v>225</v>
      </c>
      <c r="D53" t="s">
        <v>3161</v>
      </c>
      <c r="E53" t="s">
        <v>3122</v>
      </c>
      <c r="F53" t="s">
        <v>1546</v>
      </c>
      <c r="G53" t="s">
        <v>75</v>
      </c>
      <c r="H53" t="s">
        <v>1547</v>
      </c>
      <c r="J53" t="s">
        <v>27</v>
      </c>
    </row>
    <row r="54" spans="1:10">
      <c r="E54" t="s">
        <v>3162</v>
      </c>
    </row>
    <row r="55" spans="1:10">
      <c r="E55" t="s">
        <v>1549</v>
      </c>
    </row>
  </sheetData>
  <pageMargins left="0.75" right="0.75" top="1" bottom="1" header="0.511811023622047" footer="0.511811023622047"/>
  <headerFooter/>
  <ignoredErrors>
    <ignoredError sqref="A1:L55" numberStoredAsText="1"/>
  </ignoredError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3163</v>
      </c>
      <c r="B2" t="s">
        <v>433</v>
      </c>
      <c r="C2" t="s">
        <v>229</v>
      </c>
      <c r="D2" t="s">
        <v>3164</v>
      </c>
      <c r="E2" t="s">
        <v>3165</v>
      </c>
      <c r="G2" t="s">
        <v>26</v>
      </c>
      <c r="H2" t="s">
        <v>3166</v>
      </c>
      <c r="J2" t="s">
        <v>27</v>
      </c>
    </row>
    <row r="3" spans="1:12">
      <c r="E3" t="s">
        <v>1395</v>
      </c>
    </row>
    <row r="4" spans="1:12">
      <c r="A4" t="s">
        <v>3167</v>
      </c>
      <c r="B4" t="s">
        <v>433</v>
      </c>
      <c r="C4" t="s">
        <v>229</v>
      </c>
      <c r="D4" t="s">
        <v>3168</v>
      </c>
      <c r="E4" t="s">
        <v>3169</v>
      </c>
      <c r="F4" t="s">
        <v>3170</v>
      </c>
      <c r="G4" t="s">
        <v>26</v>
      </c>
      <c r="H4" t="s">
        <v>3171</v>
      </c>
      <c r="J4" t="s">
        <v>27</v>
      </c>
    </row>
    <row r="5" spans="1:12">
      <c r="E5" t="s">
        <v>3172</v>
      </c>
    </row>
    <row r="6" spans="1:12">
      <c r="E6" t="s">
        <v>714</v>
      </c>
    </row>
    <row r="7" spans="1:12">
      <c r="A7" t="s">
        <v>3173</v>
      </c>
      <c r="B7" t="s">
        <v>433</v>
      </c>
      <c r="C7" t="s">
        <v>229</v>
      </c>
      <c r="D7" t="s">
        <v>2972</v>
      </c>
      <c r="E7" t="s">
        <v>3174</v>
      </c>
      <c r="G7" t="s">
        <v>26</v>
      </c>
      <c r="H7" t="s">
        <v>3175</v>
      </c>
      <c r="J7" t="s">
        <v>42</v>
      </c>
    </row>
    <row r="8" spans="1:12">
      <c r="E8" t="s">
        <v>2975</v>
      </c>
    </row>
    <row r="9" spans="1:12">
      <c r="A9" t="s">
        <v>3176</v>
      </c>
      <c r="B9" t="s">
        <v>433</v>
      </c>
      <c r="C9" t="s">
        <v>229</v>
      </c>
      <c r="D9" t="s">
        <v>2570</v>
      </c>
      <c r="E9" t="s">
        <v>2571</v>
      </c>
      <c r="G9" t="s">
        <v>26</v>
      </c>
      <c r="H9" t="s">
        <v>2572</v>
      </c>
      <c r="J9" t="s">
        <v>42</v>
      </c>
    </row>
    <row r="10" spans="1:12">
      <c r="E10" t="s">
        <v>3177</v>
      </c>
    </row>
    <row r="11" spans="1:12">
      <c r="E11" t="s">
        <v>2574</v>
      </c>
    </row>
    <row r="12" spans="1:12">
      <c r="A12" t="s">
        <v>3178</v>
      </c>
      <c r="B12" t="s">
        <v>433</v>
      </c>
      <c r="C12" t="s">
        <v>229</v>
      </c>
      <c r="D12" t="s">
        <v>3179</v>
      </c>
      <c r="E12" t="s">
        <v>3169</v>
      </c>
      <c r="G12" t="s">
        <v>521</v>
      </c>
      <c r="H12" t="s">
        <v>3180</v>
      </c>
      <c r="J12" t="s">
        <v>27</v>
      </c>
    </row>
    <row r="13" spans="1:12">
      <c r="E13" t="s">
        <v>3181</v>
      </c>
    </row>
    <row r="14" spans="1:12">
      <c r="E14" t="s">
        <v>2982</v>
      </c>
    </row>
    <row r="15" spans="1:12">
      <c r="E15" t="s">
        <v>3182</v>
      </c>
    </row>
    <row r="16" spans="1:12">
      <c r="A16" t="s">
        <v>3183</v>
      </c>
      <c r="B16" t="s">
        <v>433</v>
      </c>
      <c r="C16" t="s">
        <v>229</v>
      </c>
      <c r="D16" t="s">
        <v>3184</v>
      </c>
      <c r="E16" t="s">
        <v>3169</v>
      </c>
      <c r="G16" t="s">
        <v>521</v>
      </c>
      <c r="H16" t="s">
        <v>3185</v>
      </c>
      <c r="J16" t="s">
        <v>27</v>
      </c>
    </row>
    <row r="17" spans="1:10">
      <c r="E17" t="s">
        <v>3186</v>
      </c>
    </row>
    <row r="18" spans="1:10">
      <c r="E18" t="s">
        <v>2982</v>
      </c>
    </row>
    <row r="19" spans="1:10">
      <c r="E19" t="s">
        <v>3182</v>
      </c>
    </row>
    <row r="20" spans="1:10">
      <c r="A20" t="s">
        <v>3187</v>
      </c>
      <c r="B20" t="s">
        <v>433</v>
      </c>
      <c r="C20" t="s">
        <v>229</v>
      </c>
      <c r="D20" t="s">
        <v>3188</v>
      </c>
      <c r="E20" t="s">
        <v>3169</v>
      </c>
      <c r="G20" t="s">
        <v>521</v>
      </c>
      <c r="H20" t="s">
        <v>3189</v>
      </c>
      <c r="J20" t="s">
        <v>27</v>
      </c>
    </row>
    <row r="21" spans="1:10">
      <c r="E21" t="s">
        <v>3190</v>
      </c>
    </row>
    <row r="22" spans="1:10">
      <c r="E22" t="s">
        <v>2982</v>
      </c>
    </row>
    <row r="23" spans="1:10">
      <c r="E23" t="s">
        <v>3182</v>
      </c>
    </row>
    <row r="24" spans="1:10">
      <c r="A24" t="s">
        <v>3191</v>
      </c>
      <c r="B24" t="s">
        <v>433</v>
      </c>
      <c r="C24" t="s">
        <v>229</v>
      </c>
      <c r="D24" t="s">
        <v>3192</v>
      </c>
      <c r="E24" t="s">
        <v>3169</v>
      </c>
      <c r="F24" t="s">
        <v>3193</v>
      </c>
      <c r="G24" t="s">
        <v>521</v>
      </c>
      <c r="H24" t="s">
        <v>3194</v>
      </c>
      <c r="J24" t="s">
        <v>464</v>
      </c>
    </row>
    <row r="25" spans="1:10">
      <c r="E25" t="s">
        <v>3195</v>
      </c>
    </row>
    <row r="26" spans="1:10">
      <c r="A26" t="s">
        <v>3196</v>
      </c>
      <c r="B26" t="s">
        <v>433</v>
      </c>
      <c r="C26" t="s">
        <v>229</v>
      </c>
      <c r="D26" t="s">
        <v>3197</v>
      </c>
      <c r="E26" t="s">
        <v>3169</v>
      </c>
      <c r="F26" t="s">
        <v>3198</v>
      </c>
      <c r="G26" t="s">
        <v>521</v>
      </c>
      <c r="H26" t="s">
        <v>3199</v>
      </c>
      <c r="J26" t="s">
        <v>464</v>
      </c>
    </row>
    <row r="27" spans="1:10">
      <c r="E27" t="s">
        <v>3200</v>
      </c>
    </row>
    <row r="28" spans="1:10">
      <c r="E28" t="s">
        <v>3201</v>
      </c>
    </row>
    <row r="29" spans="1:10">
      <c r="A29" t="s">
        <v>3202</v>
      </c>
      <c r="B29" t="s">
        <v>433</v>
      </c>
      <c r="C29" t="s">
        <v>229</v>
      </c>
      <c r="D29" t="s">
        <v>3203</v>
      </c>
      <c r="E29" t="s">
        <v>3204</v>
      </c>
      <c r="G29" t="s">
        <v>26</v>
      </c>
      <c r="H29" t="s">
        <v>3205</v>
      </c>
      <c r="J29" t="s">
        <v>42</v>
      </c>
    </row>
    <row r="30" spans="1:10">
      <c r="E30" t="s">
        <v>3206</v>
      </c>
    </row>
    <row r="31" spans="1:10">
      <c r="E31" t="s">
        <v>3207</v>
      </c>
    </row>
    <row r="32" spans="1:10">
      <c r="E32" t="s">
        <v>3208</v>
      </c>
    </row>
    <row r="33" spans="1:10">
      <c r="A33" t="s">
        <v>3209</v>
      </c>
      <c r="B33" t="s">
        <v>433</v>
      </c>
      <c r="C33" t="s">
        <v>229</v>
      </c>
      <c r="D33" t="s">
        <v>3210</v>
      </c>
      <c r="E33" t="s">
        <v>3211</v>
      </c>
      <c r="G33" t="s">
        <v>26</v>
      </c>
      <c r="H33" t="s">
        <v>3212</v>
      </c>
      <c r="J33" t="s">
        <v>42</v>
      </c>
    </row>
    <row r="34" spans="1:10">
      <c r="E34" t="s">
        <v>3213</v>
      </c>
    </row>
    <row r="35" spans="1:10">
      <c r="A35" t="s">
        <v>3214</v>
      </c>
      <c r="B35" t="s">
        <v>433</v>
      </c>
      <c r="C35" t="s">
        <v>229</v>
      </c>
      <c r="D35" t="s">
        <v>3215</v>
      </c>
      <c r="E35" t="s">
        <v>3216</v>
      </c>
      <c r="F35" t="s">
        <v>3217</v>
      </c>
      <c r="G35" t="s">
        <v>26</v>
      </c>
      <c r="H35" t="s">
        <v>3218</v>
      </c>
      <c r="J35" t="s">
        <v>42</v>
      </c>
    </row>
    <row r="36" spans="1:10">
      <c r="E36" t="s">
        <v>3219</v>
      </c>
    </row>
    <row r="37" spans="1:10">
      <c r="E37" t="s">
        <v>3220</v>
      </c>
    </row>
    <row r="38" spans="1:10">
      <c r="E38" t="s">
        <v>3221</v>
      </c>
    </row>
    <row r="39" spans="1:10">
      <c r="A39" t="s">
        <v>3222</v>
      </c>
      <c r="B39" t="s">
        <v>433</v>
      </c>
      <c r="C39" t="s">
        <v>229</v>
      </c>
      <c r="D39" t="s">
        <v>3223</v>
      </c>
      <c r="E39" t="s">
        <v>3224</v>
      </c>
      <c r="F39" t="s">
        <v>3225</v>
      </c>
      <c r="G39" t="s">
        <v>26</v>
      </c>
      <c r="H39" t="s">
        <v>3226</v>
      </c>
      <c r="J39" t="s">
        <v>42</v>
      </c>
    </row>
    <row r="40" spans="1:10">
      <c r="E40" t="s">
        <v>3227</v>
      </c>
    </row>
    <row r="41" spans="1:10">
      <c r="E41" t="s">
        <v>3228</v>
      </c>
    </row>
    <row r="42" spans="1:10">
      <c r="A42" t="s">
        <v>3229</v>
      </c>
      <c r="B42" t="s">
        <v>433</v>
      </c>
      <c r="C42" t="s">
        <v>229</v>
      </c>
      <c r="D42" t="s">
        <v>3230</v>
      </c>
      <c r="E42" t="s">
        <v>3231</v>
      </c>
      <c r="G42" t="s">
        <v>521</v>
      </c>
      <c r="H42" t="s">
        <v>3232</v>
      </c>
      <c r="J42" t="s">
        <v>27</v>
      </c>
    </row>
    <row r="43" spans="1:10">
      <c r="E43" t="s">
        <v>3182</v>
      </c>
    </row>
    <row r="44" spans="1:10">
      <c r="A44" t="s">
        <v>3233</v>
      </c>
      <c r="B44" t="s">
        <v>433</v>
      </c>
      <c r="C44" t="s">
        <v>229</v>
      </c>
      <c r="D44" t="s">
        <v>3234</v>
      </c>
      <c r="E44" t="s">
        <v>3169</v>
      </c>
      <c r="G44" t="s">
        <v>26</v>
      </c>
      <c r="H44" t="s">
        <v>3235</v>
      </c>
      <c r="J44" t="s">
        <v>42</v>
      </c>
    </row>
    <row r="45" spans="1:10">
      <c r="E45" t="s">
        <v>3236</v>
      </c>
    </row>
    <row r="46" spans="1:10">
      <c r="E46" t="s">
        <v>3237</v>
      </c>
    </row>
    <row r="47" spans="1:10">
      <c r="E47" t="s">
        <v>3238</v>
      </c>
    </row>
    <row r="48" spans="1:10">
      <c r="A48" t="s">
        <v>3239</v>
      </c>
      <c r="B48" t="s">
        <v>433</v>
      </c>
      <c r="C48" t="s">
        <v>229</v>
      </c>
      <c r="D48" t="s">
        <v>3240</v>
      </c>
      <c r="E48" t="s">
        <v>3241</v>
      </c>
      <c r="G48" t="s">
        <v>521</v>
      </c>
      <c r="H48" t="s">
        <v>3242</v>
      </c>
      <c r="J48" t="s">
        <v>42</v>
      </c>
    </row>
    <row r="49" spans="1:10">
      <c r="E49" t="s">
        <v>3182</v>
      </c>
    </row>
    <row r="50" spans="1:10">
      <c r="A50" t="s">
        <v>3243</v>
      </c>
      <c r="B50" t="s">
        <v>433</v>
      </c>
      <c r="C50" t="s">
        <v>229</v>
      </c>
      <c r="D50" t="s">
        <v>2607</v>
      </c>
      <c r="E50" t="s">
        <v>3244</v>
      </c>
      <c r="G50" t="s">
        <v>26</v>
      </c>
      <c r="H50" t="s">
        <v>3245</v>
      </c>
      <c r="J50" t="s">
        <v>42</v>
      </c>
    </row>
    <row r="51" spans="1:10">
      <c r="E51" t="s">
        <v>2611</v>
      </c>
    </row>
    <row r="52" spans="1:10">
      <c r="A52" t="s">
        <v>3246</v>
      </c>
      <c r="B52" t="s">
        <v>433</v>
      </c>
      <c r="C52" t="s">
        <v>229</v>
      </c>
      <c r="D52" t="s">
        <v>3247</v>
      </c>
      <c r="E52" t="s">
        <v>3248</v>
      </c>
      <c r="G52" t="s">
        <v>26</v>
      </c>
      <c r="H52" t="s">
        <v>3249</v>
      </c>
      <c r="J52" t="s">
        <v>27</v>
      </c>
    </row>
    <row r="53" spans="1:10">
      <c r="E53" t="s">
        <v>3182</v>
      </c>
    </row>
    <row r="54" spans="1:10">
      <c r="E54" t="s">
        <v>3250</v>
      </c>
    </row>
    <row r="55" spans="1:10">
      <c r="A55" t="s">
        <v>3251</v>
      </c>
      <c r="B55" t="s">
        <v>433</v>
      </c>
      <c r="C55" t="s">
        <v>229</v>
      </c>
      <c r="D55" t="s">
        <v>1540</v>
      </c>
      <c r="E55" t="s">
        <v>3252</v>
      </c>
      <c r="G55" t="s">
        <v>26</v>
      </c>
      <c r="H55" t="s">
        <v>3253</v>
      </c>
      <c r="J55" t="s">
        <v>42</v>
      </c>
    </row>
    <row r="56" spans="1:10">
      <c r="E56" t="s">
        <v>1543</v>
      </c>
    </row>
    <row r="57" spans="1:10">
      <c r="A57" t="s">
        <v>3254</v>
      </c>
      <c r="B57" t="s">
        <v>433</v>
      </c>
      <c r="C57" t="s">
        <v>229</v>
      </c>
      <c r="D57" t="s">
        <v>3255</v>
      </c>
      <c r="E57" t="s">
        <v>3169</v>
      </c>
      <c r="F57" t="s">
        <v>1546</v>
      </c>
      <c r="G57" t="s">
        <v>75</v>
      </c>
      <c r="H57" t="s">
        <v>1547</v>
      </c>
      <c r="J57" t="s">
        <v>27</v>
      </c>
    </row>
    <row r="58" spans="1:10">
      <c r="E58" t="s">
        <v>3256</v>
      </c>
    </row>
    <row r="59" spans="1:10">
      <c r="E59" t="s">
        <v>1549</v>
      </c>
    </row>
    <row r="60" spans="1:10">
      <c r="A60" t="s">
        <v>3257</v>
      </c>
      <c r="B60" t="s">
        <v>433</v>
      </c>
      <c r="C60" t="s">
        <v>229</v>
      </c>
      <c r="D60" t="s">
        <v>3258</v>
      </c>
      <c r="E60" t="s">
        <v>3259</v>
      </c>
      <c r="F60" t="s">
        <v>3260</v>
      </c>
      <c r="G60" t="s">
        <v>521</v>
      </c>
      <c r="H60" t="s">
        <v>3261</v>
      </c>
      <c r="J60" t="s">
        <v>42</v>
      </c>
    </row>
    <row r="61" spans="1:10">
      <c r="E61" t="s">
        <v>3262</v>
      </c>
    </row>
    <row r="62" spans="1:10">
      <c r="E62" t="s">
        <v>3182</v>
      </c>
    </row>
  </sheetData>
  <pageMargins left="0.75" right="0.75" top="1" bottom="1" header="0.511811023622047" footer="0.511811023622047"/>
  <headerFooter/>
  <ignoredErrors>
    <ignoredError sqref="A1:L62" numberStoredAsText="1"/>
  </ignoredError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3"/>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3263</v>
      </c>
      <c r="B2" t="s">
        <v>433</v>
      </c>
      <c r="C2" t="s">
        <v>234</v>
      </c>
      <c r="D2" t="s">
        <v>3264</v>
      </c>
      <c r="E2" t="s">
        <v>3265</v>
      </c>
      <c r="G2" t="s">
        <v>26</v>
      </c>
      <c r="H2" t="s">
        <v>3266</v>
      </c>
      <c r="J2" t="s">
        <v>27</v>
      </c>
    </row>
    <row r="3" spans="1:12">
      <c r="E3" t="s">
        <v>3267</v>
      </c>
    </row>
    <row r="4" spans="1:12">
      <c r="A4" t="s">
        <v>3268</v>
      </c>
      <c r="B4" t="s">
        <v>433</v>
      </c>
      <c r="C4" t="s">
        <v>234</v>
      </c>
      <c r="D4" t="s">
        <v>3269</v>
      </c>
      <c r="E4" t="s">
        <v>3270</v>
      </c>
      <c r="G4" t="s">
        <v>26</v>
      </c>
      <c r="H4" t="s">
        <v>3271</v>
      </c>
      <c r="J4" t="s">
        <v>27</v>
      </c>
    </row>
    <row r="5" spans="1:12">
      <c r="E5" t="s">
        <v>3272</v>
      </c>
    </row>
    <row r="6" spans="1:12">
      <c r="A6" t="s">
        <v>3273</v>
      </c>
      <c r="B6" t="s">
        <v>433</v>
      </c>
      <c r="C6" t="s">
        <v>234</v>
      </c>
      <c r="D6" t="s">
        <v>3274</v>
      </c>
      <c r="E6" t="s">
        <v>3275</v>
      </c>
      <c r="G6" t="s">
        <v>26</v>
      </c>
      <c r="H6" t="s">
        <v>3276</v>
      </c>
      <c r="J6" t="s">
        <v>42</v>
      </c>
    </row>
    <row r="7" spans="1:12">
      <c r="E7" t="s">
        <v>3277</v>
      </c>
    </row>
    <row r="8" spans="1:12">
      <c r="A8" t="s">
        <v>3278</v>
      </c>
      <c r="B8" t="s">
        <v>433</v>
      </c>
      <c r="C8" t="s">
        <v>234</v>
      </c>
      <c r="D8" t="s">
        <v>3279</v>
      </c>
      <c r="E8" t="s">
        <v>3280</v>
      </c>
      <c r="G8" t="s">
        <v>521</v>
      </c>
      <c r="H8" t="s">
        <v>3281</v>
      </c>
      <c r="J8" t="s">
        <v>27</v>
      </c>
    </row>
    <row r="9" spans="1:12">
      <c r="E9" t="s">
        <v>3282</v>
      </c>
    </row>
    <row r="10" spans="1:12">
      <c r="E10" t="s">
        <v>3283</v>
      </c>
    </row>
    <row r="11" spans="1:12">
      <c r="A11" t="s">
        <v>3284</v>
      </c>
      <c r="B11" t="s">
        <v>433</v>
      </c>
      <c r="C11" t="s">
        <v>234</v>
      </c>
      <c r="D11" t="s">
        <v>3285</v>
      </c>
      <c r="E11" t="s">
        <v>3286</v>
      </c>
      <c r="G11" t="s">
        <v>26</v>
      </c>
      <c r="H11" t="s">
        <v>3287</v>
      </c>
      <c r="J11" t="s">
        <v>27</v>
      </c>
    </row>
    <row r="12" spans="1:12">
      <c r="E12" t="s">
        <v>3288</v>
      </c>
    </row>
    <row r="13" spans="1:12">
      <c r="E13" t="s">
        <v>3289</v>
      </c>
    </row>
    <row r="14" spans="1:12">
      <c r="A14" t="s">
        <v>3290</v>
      </c>
      <c r="B14" t="s">
        <v>433</v>
      </c>
      <c r="C14" t="s">
        <v>234</v>
      </c>
      <c r="D14" t="s">
        <v>3291</v>
      </c>
      <c r="E14" t="s">
        <v>3275</v>
      </c>
      <c r="G14" t="s">
        <v>26</v>
      </c>
      <c r="H14" t="s">
        <v>3292</v>
      </c>
      <c r="J14" t="s">
        <v>42</v>
      </c>
    </row>
    <row r="15" spans="1:12">
      <c r="E15" t="s">
        <v>3293</v>
      </c>
    </row>
    <row r="16" spans="1:12">
      <c r="A16" t="s">
        <v>3294</v>
      </c>
      <c r="B16" t="s">
        <v>433</v>
      </c>
      <c r="C16" t="s">
        <v>234</v>
      </c>
      <c r="D16" t="s">
        <v>3295</v>
      </c>
      <c r="E16" t="s">
        <v>3296</v>
      </c>
      <c r="G16" t="s">
        <v>26</v>
      </c>
      <c r="H16" t="s">
        <v>3297</v>
      </c>
      <c r="J16" t="s">
        <v>27</v>
      </c>
    </row>
    <row r="17" spans="1:10">
      <c r="E17" t="s">
        <v>3298</v>
      </c>
    </row>
    <row r="18" spans="1:10">
      <c r="A18" t="s">
        <v>3299</v>
      </c>
      <c r="B18" t="s">
        <v>433</v>
      </c>
      <c r="C18" t="s">
        <v>234</v>
      </c>
      <c r="D18" t="s">
        <v>1291</v>
      </c>
      <c r="E18" t="s">
        <v>3300</v>
      </c>
      <c r="G18" t="s">
        <v>26</v>
      </c>
      <c r="H18" t="s">
        <v>3301</v>
      </c>
      <c r="J18" t="s">
        <v>27</v>
      </c>
    </row>
    <row r="19" spans="1:10">
      <c r="E19" t="s">
        <v>3302</v>
      </c>
    </row>
    <row r="20" spans="1:10">
      <c r="A20" t="s">
        <v>3303</v>
      </c>
      <c r="B20" t="s">
        <v>433</v>
      </c>
      <c r="C20" t="s">
        <v>234</v>
      </c>
      <c r="D20" t="s">
        <v>3304</v>
      </c>
      <c r="E20" t="s">
        <v>3296</v>
      </c>
      <c r="F20" t="s">
        <v>3305</v>
      </c>
      <c r="G20" t="s">
        <v>26</v>
      </c>
      <c r="H20" t="s">
        <v>3306</v>
      </c>
      <c r="J20" t="s">
        <v>42</v>
      </c>
    </row>
    <row r="21" spans="1:10">
      <c r="E21" t="s">
        <v>3307</v>
      </c>
    </row>
    <row r="22" spans="1:10">
      <c r="E22" t="s">
        <v>3308</v>
      </c>
    </row>
    <row r="23" spans="1:10">
      <c r="E23" t="s">
        <v>1262</v>
      </c>
    </row>
    <row r="24" spans="1:10">
      <c r="A24" t="s">
        <v>3309</v>
      </c>
      <c r="B24" t="s">
        <v>433</v>
      </c>
      <c r="C24" t="s">
        <v>234</v>
      </c>
      <c r="D24" t="s">
        <v>3310</v>
      </c>
      <c r="E24" t="s">
        <v>3311</v>
      </c>
      <c r="G24" t="s">
        <v>26</v>
      </c>
      <c r="H24" t="s">
        <v>3312</v>
      </c>
      <c r="J24" t="s">
        <v>42</v>
      </c>
    </row>
    <row r="25" spans="1:10">
      <c r="E25" t="s">
        <v>3313</v>
      </c>
    </row>
    <row r="26" spans="1:10">
      <c r="A26" t="s">
        <v>3314</v>
      </c>
      <c r="B26" t="s">
        <v>433</v>
      </c>
      <c r="C26" t="s">
        <v>234</v>
      </c>
      <c r="D26" t="s">
        <v>3315</v>
      </c>
      <c r="E26" t="s">
        <v>3296</v>
      </c>
      <c r="G26" t="s">
        <v>26</v>
      </c>
      <c r="H26" t="s">
        <v>3316</v>
      </c>
      <c r="J26" t="s">
        <v>42</v>
      </c>
    </row>
    <row r="27" spans="1:10">
      <c r="E27" t="s">
        <v>3317</v>
      </c>
    </row>
    <row r="28" spans="1:10">
      <c r="A28" t="s">
        <v>3318</v>
      </c>
      <c r="B28" t="s">
        <v>433</v>
      </c>
      <c r="C28" t="s">
        <v>234</v>
      </c>
      <c r="D28" t="s">
        <v>3319</v>
      </c>
      <c r="E28" t="s">
        <v>3296</v>
      </c>
      <c r="G28" t="s">
        <v>26</v>
      </c>
      <c r="H28" t="s">
        <v>3320</v>
      </c>
      <c r="J28" t="s">
        <v>42</v>
      </c>
    </row>
    <row r="29" spans="1:10">
      <c r="E29" t="s">
        <v>3321</v>
      </c>
    </row>
    <row r="30" spans="1:10">
      <c r="A30" t="s">
        <v>3322</v>
      </c>
      <c r="B30" t="s">
        <v>433</v>
      </c>
      <c r="C30" t="s">
        <v>234</v>
      </c>
      <c r="D30" t="s">
        <v>3323</v>
      </c>
      <c r="E30" t="s">
        <v>3324</v>
      </c>
      <c r="G30" t="s">
        <v>26</v>
      </c>
      <c r="H30" t="s">
        <v>3325</v>
      </c>
      <c r="J30" t="s">
        <v>27</v>
      </c>
    </row>
    <row r="31" spans="1:10">
      <c r="E31" t="s">
        <v>3326</v>
      </c>
    </row>
    <row r="32" spans="1:10">
      <c r="A32" t="s">
        <v>3327</v>
      </c>
      <c r="B32" t="s">
        <v>433</v>
      </c>
      <c r="C32" t="s">
        <v>234</v>
      </c>
      <c r="D32" t="s">
        <v>3328</v>
      </c>
      <c r="E32" t="s">
        <v>3329</v>
      </c>
      <c r="G32" t="s">
        <v>26</v>
      </c>
      <c r="H32" t="s">
        <v>3330</v>
      </c>
      <c r="J32" t="s">
        <v>42</v>
      </c>
    </row>
    <row r="33" spans="1:10">
      <c r="E33" t="s">
        <v>3331</v>
      </c>
    </row>
    <row r="34" spans="1:10">
      <c r="E34" t="s">
        <v>3332</v>
      </c>
    </row>
    <row r="35" spans="1:10">
      <c r="A35" t="s">
        <v>3333</v>
      </c>
      <c r="B35" t="s">
        <v>433</v>
      </c>
      <c r="C35" t="s">
        <v>234</v>
      </c>
      <c r="D35" t="s">
        <v>3334</v>
      </c>
      <c r="E35" t="s">
        <v>3335</v>
      </c>
      <c r="G35" t="s">
        <v>26</v>
      </c>
      <c r="H35" t="s">
        <v>3336</v>
      </c>
      <c r="J35" t="s">
        <v>464</v>
      </c>
    </row>
    <row r="36" spans="1:10">
      <c r="E36" t="s">
        <v>3337</v>
      </c>
    </row>
    <row r="37" spans="1:10">
      <c r="A37" t="s">
        <v>3338</v>
      </c>
      <c r="B37" t="s">
        <v>433</v>
      </c>
      <c r="C37" t="s">
        <v>234</v>
      </c>
      <c r="D37" t="s">
        <v>3339</v>
      </c>
      <c r="E37" t="s">
        <v>3340</v>
      </c>
      <c r="G37" t="s">
        <v>26</v>
      </c>
      <c r="H37" t="s">
        <v>3341</v>
      </c>
      <c r="J37" t="s">
        <v>464</v>
      </c>
    </row>
    <row r="38" spans="1:10">
      <c r="E38" t="s">
        <v>3342</v>
      </c>
    </row>
    <row r="39" spans="1:10">
      <c r="E39" t="s">
        <v>3343</v>
      </c>
    </row>
    <row r="40" spans="1:10">
      <c r="A40" t="s">
        <v>3344</v>
      </c>
      <c r="B40" t="s">
        <v>433</v>
      </c>
      <c r="C40" t="s">
        <v>234</v>
      </c>
      <c r="D40" t="s">
        <v>3345</v>
      </c>
      <c r="E40" t="s">
        <v>3275</v>
      </c>
      <c r="G40" t="s">
        <v>26</v>
      </c>
      <c r="H40" t="s">
        <v>3346</v>
      </c>
      <c r="J40" t="s">
        <v>464</v>
      </c>
    </row>
    <row r="41" spans="1:10">
      <c r="E41" t="s">
        <v>1331</v>
      </c>
    </row>
    <row r="42" spans="1:10">
      <c r="A42" t="s">
        <v>3347</v>
      </c>
      <c r="B42" t="s">
        <v>433</v>
      </c>
      <c r="C42" t="s">
        <v>234</v>
      </c>
      <c r="D42" t="s">
        <v>3348</v>
      </c>
      <c r="E42" t="s">
        <v>3349</v>
      </c>
      <c r="G42" t="s">
        <v>521</v>
      </c>
      <c r="H42" t="s">
        <v>3350</v>
      </c>
      <c r="J42" t="s">
        <v>42</v>
      </c>
    </row>
    <row r="43" spans="1:10">
      <c r="E43" t="s">
        <v>3351</v>
      </c>
    </row>
  </sheetData>
  <pageMargins left="0.75" right="0.75" top="1" bottom="1" header="0.511811023622047" footer="0.511811023622047"/>
  <headerFooter/>
  <ignoredErrors>
    <ignoredError sqref="A1:L43" numberStoredAsText="1"/>
  </ignoredError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1"/>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3352</v>
      </c>
      <c r="B2" t="s">
        <v>433</v>
      </c>
      <c r="C2" t="s">
        <v>239</v>
      </c>
      <c r="D2" t="s">
        <v>3353</v>
      </c>
      <c r="E2" t="s">
        <v>3354</v>
      </c>
      <c r="G2" t="s">
        <v>26</v>
      </c>
      <c r="H2" t="s">
        <v>3355</v>
      </c>
      <c r="J2" t="s">
        <v>27</v>
      </c>
    </row>
    <row r="3" spans="1:12">
      <c r="E3" t="s">
        <v>3356</v>
      </c>
    </row>
    <row r="4" spans="1:12">
      <c r="A4" t="s">
        <v>3357</v>
      </c>
      <c r="B4" t="s">
        <v>433</v>
      </c>
      <c r="C4" t="s">
        <v>239</v>
      </c>
      <c r="D4" t="s">
        <v>3358</v>
      </c>
      <c r="E4" t="s">
        <v>3359</v>
      </c>
      <c r="G4" t="s">
        <v>26</v>
      </c>
      <c r="H4" t="s">
        <v>3360</v>
      </c>
      <c r="J4" t="s">
        <v>27</v>
      </c>
    </row>
    <row r="5" spans="1:12">
      <c r="E5" t="s">
        <v>3361</v>
      </c>
    </row>
    <row r="6" spans="1:12">
      <c r="A6" t="s">
        <v>3362</v>
      </c>
      <c r="B6" t="s">
        <v>433</v>
      </c>
      <c r="C6" t="s">
        <v>239</v>
      </c>
      <c r="D6" t="s">
        <v>3363</v>
      </c>
      <c r="E6" t="s">
        <v>3364</v>
      </c>
      <c r="G6" t="s">
        <v>26</v>
      </c>
      <c r="H6" t="s">
        <v>3365</v>
      </c>
      <c r="J6" t="s">
        <v>464</v>
      </c>
    </row>
    <row r="7" spans="1:12">
      <c r="E7" t="s">
        <v>3366</v>
      </c>
    </row>
    <row r="8" spans="1:12">
      <c r="A8" t="s">
        <v>3367</v>
      </c>
      <c r="B8" t="s">
        <v>433</v>
      </c>
      <c r="C8" t="s">
        <v>239</v>
      </c>
      <c r="D8" t="s">
        <v>1291</v>
      </c>
      <c r="E8" t="s">
        <v>3368</v>
      </c>
      <c r="G8" t="s">
        <v>26</v>
      </c>
      <c r="H8" t="s">
        <v>3369</v>
      </c>
      <c r="J8" t="s">
        <v>42</v>
      </c>
    </row>
    <row r="9" spans="1:12">
      <c r="E9" t="s">
        <v>3370</v>
      </c>
    </row>
    <row r="10" spans="1:12">
      <c r="A10" t="s">
        <v>3371</v>
      </c>
      <c r="B10" t="s">
        <v>433</v>
      </c>
      <c r="C10" t="s">
        <v>239</v>
      </c>
      <c r="D10" t="s">
        <v>3372</v>
      </c>
      <c r="E10" t="s">
        <v>3373</v>
      </c>
      <c r="F10" t="s">
        <v>3374</v>
      </c>
      <c r="G10" t="s">
        <v>26</v>
      </c>
      <c r="H10" t="s">
        <v>3375</v>
      </c>
      <c r="J10" t="s">
        <v>42</v>
      </c>
    </row>
    <row r="11" spans="1:12">
      <c r="E11" t="s">
        <v>3307</v>
      </c>
    </row>
    <row r="12" spans="1:12">
      <c r="E12" t="s">
        <v>3376</v>
      </c>
    </row>
    <row r="13" spans="1:12">
      <c r="E13" t="s">
        <v>1262</v>
      </c>
    </row>
    <row r="14" spans="1:12">
      <c r="A14" t="s">
        <v>3377</v>
      </c>
      <c r="B14" t="s">
        <v>433</v>
      </c>
      <c r="C14" t="s">
        <v>239</v>
      </c>
      <c r="D14" t="s">
        <v>3378</v>
      </c>
      <c r="E14" t="s">
        <v>3359</v>
      </c>
      <c r="G14" t="s">
        <v>26</v>
      </c>
      <c r="H14" t="s">
        <v>3379</v>
      </c>
      <c r="J14" t="s">
        <v>27</v>
      </c>
    </row>
    <row r="15" spans="1:12">
      <c r="E15" t="s">
        <v>3380</v>
      </c>
    </row>
    <row r="16" spans="1:12">
      <c r="A16" t="s">
        <v>3381</v>
      </c>
      <c r="B16" t="s">
        <v>433</v>
      </c>
      <c r="C16" t="s">
        <v>239</v>
      </c>
      <c r="D16" t="s">
        <v>3095</v>
      </c>
      <c r="E16" t="s">
        <v>3373</v>
      </c>
      <c r="G16" t="s">
        <v>26</v>
      </c>
      <c r="H16" t="s">
        <v>3382</v>
      </c>
      <c r="J16" t="s">
        <v>42</v>
      </c>
    </row>
    <row r="17" spans="1:10">
      <c r="E17" t="s">
        <v>3383</v>
      </c>
    </row>
    <row r="18" spans="1:10">
      <c r="A18" t="s">
        <v>3384</v>
      </c>
      <c r="B18" t="s">
        <v>433</v>
      </c>
      <c r="C18" t="s">
        <v>239</v>
      </c>
      <c r="D18" t="s">
        <v>3385</v>
      </c>
      <c r="E18" t="s">
        <v>3386</v>
      </c>
      <c r="G18" t="s">
        <v>26</v>
      </c>
      <c r="H18" t="s">
        <v>3387</v>
      </c>
      <c r="J18" t="s">
        <v>464</v>
      </c>
    </row>
    <row r="19" spans="1:10">
      <c r="E19" t="s">
        <v>3388</v>
      </c>
    </row>
    <row r="20" spans="1:10">
      <c r="A20" t="s">
        <v>3389</v>
      </c>
      <c r="B20" t="s">
        <v>433</v>
      </c>
      <c r="C20" t="s">
        <v>239</v>
      </c>
      <c r="D20" t="s">
        <v>3390</v>
      </c>
      <c r="E20" t="s">
        <v>3391</v>
      </c>
      <c r="G20" t="s">
        <v>26</v>
      </c>
      <c r="H20" t="s">
        <v>3392</v>
      </c>
      <c r="J20" t="s">
        <v>42</v>
      </c>
    </row>
    <row r="21" spans="1:10">
      <c r="E21" t="s">
        <v>3393</v>
      </c>
    </row>
    <row r="22" spans="1:10">
      <c r="A22" t="s">
        <v>3394</v>
      </c>
      <c r="B22" t="s">
        <v>433</v>
      </c>
      <c r="C22" t="s">
        <v>239</v>
      </c>
      <c r="D22" t="s">
        <v>3395</v>
      </c>
      <c r="E22" t="s">
        <v>3359</v>
      </c>
      <c r="G22" t="s">
        <v>26</v>
      </c>
      <c r="H22" t="s">
        <v>3396</v>
      </c>
      <c r="J22" t="s">
        <v>42</v>
      </c>
    </row>
    <row r="23" spans="1:10">
      <c r="E23" t="s">
        <v>3397</v>
      </c>
    </row>
    <row r="24" spans="1:10">
      <c r="A24" t="s">
        <v>3398</v>
      </c>
      <c r="B24" t="s">
        <v>433</v>
      </c>
      <c r="C24" t="s">
        <v>239</v>
      </c>
      <c r="D24" t="s">
        <v>3399</v>
      </c>
      <c r="E24" t="s">
        <v>3400</v>
      </c>
      <c r="G24" t="s">
        <v>26</v>
      </c>
      <c r="H24" t="s">
        <v>3401</v>
      </c>
      <c r="J24" t="s">
        <v>27</v>
      </c>
    </row>
    <row r="25" spans="1:10">
      <c r="E25" t="s">
        <v>3402</v>
      </c>
    </row>
    <row r="26" spans="1:10">
      <c r="E26" t="s">
        <v>3403</v>
      </c>
    </row>
    <row r="27" spans="1:10">
      <c r="A27" t="s">
        <v>3404</v>
      </c>
      <c r="B27" t="s">
        <v>433</v>
      </c>
      <c r="C27" t="s">
        <v>239</v>
      </c>
      <c r="D27" t="s">
        <v>3405</v>
      </c>
      <c r="E27" t="s">
        <v>3359</v>
      </c>
      <c r="G27" t="s">
        <v>26</v>
      </c>
      <c r="H27" t="s">
        <v>3406</v>
      </c>
      <c r="J27" t="s">
        <v>42</v>
      </c>
    </row>
    <row r="28" spans="1:10">
      <c r="E28" t="s">
        <v>3407</v>
      </c>
    </row>
    <row r="29" spans="1:10">
      <c r="A29" t="s">
        <v>3408</v>
      </c>
      <c r="B29" t="s">
        <v>433</v>
      </c>
      <c r="C29" t="s">
        <v>239</v>
      </c>
      <c r="D29" t="s">
        <v>3409</v>
      </c>
      <c r="E29" t="s">
        <v>3410</v>
      </c>
      <c r="G29" t="s">
        <v>26</v>
      </c>
      <c r="H29" t="s">
        <v>3411</v>
      </c>
      <c r="J29" t="s">
        <v>464</v>
      </c>
    </row>
    <row r="30" spans="1:10">
      <c r="E30" t="s">
        <v>3412</v>
      </c>
    </row>
    <row r="31" spans="1:10">
      <c r="A31" t="s">
        <v>3413</v>
      </c>
      <c r="B31" t="s">
        <v>433</v>
      </c>
      <c r="C31" t="s">
        <v>239</v>
      </c>
      <c r="D31" t="s">
        <v>3414</v>
      </c>
      <c r="E31" t="s">
        <v>3415</v>
      </c>
      <c r="G31" t="s">
        <v>26</v>
      </c>
      <c r="H31" t="s">
        <v>3416</v>
      </c>
      <c r="J31" t="s">
        <v>464</v>
      </c>
    </row>
    <row r="32" spans="1:10">
      <c r="E32" t="s">
        <v>3417</v>
      </c>
    </row>
    <row r="33" spans="1:10">
      <c r="A33" t="s">
        <v>3418</v>
      </c>
      <c r="B33" t="s">
        <v>433</v>
      </c>
      <c r="C33" t="s">
        <v>239</v>
      </c>
      <c r="D33" t="s">
        <v>3419</v>
      </c>
      <c r="E33" t="s">
        <v>1334</v>
      </c>
      <c r="G33" t="s">
        <v>26</v>
      </c>
      <c r="H33" t="s">
        <v>3420</v>
      </c>
      <c r="J33" t="s">
        <v>27</v>
      </c>
    </row>
    <row r="34" spans="1:10">
      <c r="E34" t="s">
        <v>1336</v>
      </c>
    </row>
    <row r="35" spans="1:10">
      <c r="E35" t="s">
        <v>1337</v>
      </c>
    </row>
    <row r="36" spans="1:10">
      <c r="A36" t="s">
        <v>3421</v>
      </c>
      <c r="B36" t="s">
        <v>433</v>
      </c>
      <c r="C36" t="s">
        <v>239</v>
      </c>
      <c r="D36" t="s">
        <v>3422</v>
      </c>
      <c r="E36" t="s">
        <v>3423</v>
      </c>
      <c r="G36" t="s">
        <v>521</v>
      </c>
      <c r="H36" t="s">
        <v>3424</v>
      </c>
      <c r="J36" t="s">
        <v>27</v>
      </c>
    </row>
    <row r="37" spans="1:10">
      <c r="E37" t="s">
        <v>3425</v>
      </c>
    </row>
    <row r="38" spans="1:10">
      <c r="A38" t="s">
        <v>3426</v>
      </c>
      <c r="B38" t="s">
        <v>433</v>
      </c>
      <c r="C38" t="s">
        <v>239</v>
      </c>
      <c r="D38" t="s">
        <v>3427</v>
      </c>
      <c r="E38" t="s">
        <v>3359</v>
      </c>
      <c r="G38" t="s">
        <v>26</v>
      </c>
      <c r="H38" t="s">
        <v>3428</v>
      </c>
      <c r="J38" t="s">
        <v>464</v>
      </c>
    </row>
    <row r="39" spans="1:10">
      <c r="E39" t="s">
        <v>1331</v>
      </c>
    </row>
    <row r="40" spans="1:10">
      <c r="A40" t="s">
        <v>3429</v>
      </c>
      <c r="B40" t="s">
        <v>433</v>
      </c>
      <c r="C40" t="s">
        <v>239</v>
      </c>
      <c r="D40" t="s">
        <v>3430</v>
      </c>
      <c r="E40" t="s">
        <v>3431</v>
      </c>
      <c r="G40" t="s">
        <v>521</v>
      </c>
      <c r="H40" t="s">
        <v>3432</v>
      </c>
      <c r="J40" t="s">
        <v>42</v>
      </c>
    </row>
    <row r="41" spans="1:10">
      <c r="E41" t="s">
        <v>3433</v>
      </c>
    </row>
  </sheetData>
  <pageMargins left="0.75" right="0.75" top="1" bottom="1" header="0.511811023622047" footer="0.511811023622047"/>
  <headerFooter/>
  <ignoredErrors>
    <ignoredError sqref="A1:L41" numberStoredAsText="1"/>
  </ignoredError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80"/>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3434</v>
      </c>
      <c r="B2" t="s">
        <v>433</v>
      </c>
      <c r="C2" t="s">
        <v>243</v>
      </c>
      <c r="D2" t="s">
        <v>3435</v>
      </c>
      <c r="E2" t="s">
        <v>3436</v>
      </c>
      <c r="G2" t="s">
        <v>26</v>
      </c>
      <c r="H2" t="s">
        <v>3437</v>
      </c>
      <c r="J2" t="s">
        <v>27</v>
      </c>
    </row>
    <row r="3" spans="1:12">
      <c r="E3" t="s">
        <v>1395</v>
      </c>
    </row>
    <row r="4" spans="1:12">
      <c r="A4" t="s">
        <v>3438</v>
      </c>
      <c r="B4" t="s">
        <v>433</v>
      </c>
      <c r="C4" t="s">
        <v>243</v>
      </c>
      <c r="D4" t="s">
        <v>3439</v>
      </c>
      <c r="E4" t="s">
        <v>3440</v>
      </c>
      <c r="F4" t="s">
        <v>3441</v>
      </c>
      <c r="G4" t="s">
        <v>26</v>
      </c>
      <c r="H4" t="s">
        <v>3442</v>
      </c>
      <c r="J4" t="s">
        <v>27</v>
      </c>
    </row>
    <row r="5" spans="1:12">
      <c r="E5" t="s">
        <v>3443</v>
      </c>
    </row>
    <row r="6" spans="1:12">
      <c r="E6" t="s">
        <v>714</v>
      </c>
    </row>
    <row r="7" spans="1:12">
      <c r="A7" t="s">
        <v>3444</v>
      </c>
      <c r="B7" t="s">
        <v>433</v>
      </c>
      <c r="C7" t="s">
        <v>243</v>
      </c>
      <c r="D7" t="s">
        <v>3445</v>
      </c>
      <c r="E7" t="s">
        <v>3446</v>
      </c>
      <c r="G7" t="s">
        <v>26</v>
      </c>
      <c r="H7" t="s">
        <v>3447</v>
      </c>
      <c r="J7" t="s">
        <v>464</v>
      </c>
    </row>
    <row r="8" spans="1:12">
      <c r="E8" t="s">
        <v>3448</v>
      </c>
    </row>
    <row r="9" spans="1:12">
      <c r="A9" t="s">
        <v>3449</v>
      </c>
      <c r="B9" t="s">
        <v>433</v>
      </c>
      <c r="C9" t="s">
        <v>243</v>
      </c>
      <c r="D9" t="s">
        <v>3450</v>
      </c>
      <c r="E9" t="s">
        <v>3451</v>
      </c>
      <c r="G9" t="s">
        <v>26</v>
      </c>
      <c r="H9" t="s">
        <v>3452</v>
      </c>
      <c r="J9" t="s">
        <v>27</v>
      </c>
    </row>
    <row r="10" spans="1:12">
      <c r="E10" t="s">
        <v>1406</v>
      </c>
    </row>
    <row r="11" spans="1:12">
      <c r="A11" t="s">
        <v>3453</v>
      </c>
      <c r="B11" t="s">
        <v>433</v>
      </c>
      <c r="C11" t="s">
        <v>243</v>
      </c>
      <c r="D11" t="s">
        <v>3454</v>
      </c>
      <c r="E11" t="s">
        <v>3455</v>
      </c>
      <c r="G11" t="s">
        <v>26</v>
      </c>
      <c r="H11" t="s">
        <v>3456</v>
      </c>
      <c r="J11" t="s">
        <v>42</v>
      </c>
    </row>
    <row r="12" spans="1:12">
      <c r="E12" t="s">
        <v>3457</v>
      </c>
    </row>
    <row r="13" spans="1:12">
      <c r="A13" t="s">
        <v>3458</v>
      </c>
      <c r="B13" t="s">
        <v>433</v>
      </c>
      <c r="C13" t="s">
        <v>243</v>
      </c>
      <c r="D13" t="s">
        <v>3459</v>
      </c>
      <c r="E13" t="s">
        <v>3460</v>
      </c>
      <c r="G13" t="s">
        <v>26</v>
      </c>
      <c r="H13" t="s">
        <v>3461</v>
      </c>
      <c r="J13" t="s">
        <v>464</v>
      </c>
    </row>
    <row r="14" spans="1:12">
      <c r="E14" t="s">
        <v>1422</v>
      </c>
    </row>
    <row r="15" spans="1:12">
      <c r="E15" t="s">
        <v>1423</v>
      </c>
    </row>
    <row r="16" spans="1:12">
      <c r="A16" t="s">
        <v>3462</v>
      </c>
      <c r="B16" t="s">
        <v>433</v>
      </c>
      <c r="C16" t="s">
        <v>243</v>
      </c>
      <c r="D16" t="s">
        <v>3463</v>
      </c>
      <c r="E16" t="s">
        <v>3440</v>
      </c>
      <c r="G16" t="s">
        <v>521</v>
      </c>
      <c r="H16" t="s">
        <v>3464</v>
      </c>
      <c r="J16" t="s">
        <v>27</v>
      </c>
    </row>
    <row r="17" spans="1:10">
      <c r="E17" t="s">
        <v>3113</v>
      </c>
    </row>
    <row r="18" spans="1:10">
      <c r="E18" t="s">
        <v>2982</v>
      </c>
    </row>
    <row r="19" spans="1:10">
      <c r="E19" t="s">
        <v>3465</v>
      </c>
    </row>
    <row r="20" spans="1:10">
      <c r="A20" t="s">
        <v>3466</v>
      </c>
      <c r="B20" t="s">
        <v>433</v>
      </c>
      <c r="C20" t="s">
        <v>243</v>
      </c>
      <c r="D20" t="s">
        <v>3467</v>
      </c>
      <c r="E20" t="s">
        <v>3440</v>
      </c>
      <c r="G20" t="s">
        <v>26</v>
      </c>
      <c r="H20" t="s">
        <v>3468</v>
      </c>
      <c r="J20" t="s">
        <v>27</v>
      </c>
    </row>
    <row r="21" spans="1:10">
      <c r="E21" t="s">
        <v>3469</v>
      </c>
    </row>
    <row r="22" spans="1:10">
      <c r="E22" t="s">
        <v>3470</v>
      </c>
    </row>
    <row r="23" spans="1:10">
      <c r="A23" t="s">
        <v>3471</v>
      </c>
      <c r="B23" t="s">
        <v>433</v>
      </c>
      <c r="C23" t="s">
        <v>243</v>
      </c>
      <c r="D23" t="s">
        <v>3472</v>
      </c>
      <c r="E23" t="s">
        <v>3440</v>
      </c>
      <c r="F23" t="s">
        <v>3473</v>
      </c>
      <c r="G23" t="s">
        <v>521</v>
      </c>
      <c r="H23" t="s">
        <v>3474</v>
      </c>
      <c r="J23" t="s">
        <v>42</v>
      </c>
    </row>
    <row r="24" spans="1:10">
      <c r="E24" t="s">
        <v>3475</v>
      </c>
    </row>
    <row r="25" spans="1:10">
      <c r="E25" t="s">
        <v>1462</v>
      </c>
    </row>
    <row r="26" spans="1:10">
      <c r="E26" t="s">
        <v>3476</v>
      </c>
    </row>
    <row r="27" spans="1:10">
      <c r="E27" t="s">
        <v>1462</v>
      </c>
    </row>
    <row r="28" spans="1:10">
      <c r="A28" t="s">
        <v>3477</v>
      </c>
      <c r="B28" t="s">
        <v>433</v>
      </c>
      <c r="C28" t="s">
        <v>243</v>
      </c>
      <c r="D28" t="s">
        <v>3478</v>
      </c>
      <c r="E28" t="s">
        <v>3479</v>
      </c>
      <c r="F28" t="s">
        <v>3480</v>
      </c>
      <c r="G28" t="s">
        <v>26</v>
      </c>
      <c r="H28" t="s">
        <v>3481</v>
      </c>
      <c r="J28" t="s">
        <v>27</v>
      </c>
    </row>
    <row r="29" spans="1:10">
      <c r="E29" t="s">
        <v>3482</v>
      </c>
    </row>
    <row r="30" spans="1:10">
      <c r="E30" t="s">
        <v>3483</v>
      </c>
    </row>
    <row r="31" spans="1:10">
      <c r="E31" t="s">
        <v>3484</v>
      </c>
    </row>
    <row r="32" spans="1:10">
      <c r="A32" t="s">
        <v>3485</v>
      </c>
      <c r="B32" t="s">
        <v>433</v>
      </c>
      <c r="C32" t="s">
        <v>243</v>
      </c>
      <c r="D32" t="s">
        <v>3486</v>
      </c>
      <c r="E32" t="s">
        <v>3487</v>
      </c>
      <c r="G32" t="s">
        <v>26</v>
      </c>
      <c r="H32" t="s">
        <v>3488</v>
      </c>
      <c r="J32" t="s">
        <v>42</v>
      </c>
    </row>
    <row r="33" spans="1:10">
      <c r="E33" t="s">
        <v>3489</v>
      </c>
    </row>
    <row r="34" spans="1:10">
      <c r="E34" t="s">
        <v>3490</v>
      </c>
    </row>
    <row r="35" spans="1:10">
      <c r="A35" t="s">
        <v>3491</v>
      </c>
      <c r="B35" t="s">
        <v>433</v>
      </c>
      <c r="C35" t="s">
        <v>243</v>
      </c>
      <c r="D35" t="s">
        <v>3492</v>
      </c>
      <c r="E35" t="s">
        <v>3493</v>
      </c>
      <c r="G35" t="s">
        <v>26</v>
      </c>
      <c r="H35" t="s">
        <v>3494</v>
      </c>
      <c r="J35" t="s">
        <v>464</v>
      </c>
    </row>
    <row r="36" spans="1:10">
      <c r="E36" t="s">
        <v>2056</v>
      </c>
    </row>
    <row r="37" spans="1:10">
      <c r="A37" t="s">
        <v>3495</v>
      </c>
      <c r="B37" t="s">
        <v>433</v>
      </c>
      <c r="C37" t="s">
        <v>243</v>
      </c>
      <c r="D37" t="s">
        <v>3496</v>
      </c>
      <c r="E37" t="s">
        <v>3497</v>
      </c>
      <c r="G37" t="s">
        <v>26</v>
      </c>
      <c r="H37" t="s">
        <v>3498</v>
      </c>
      <c r="J37" t="s">
        <v>42</v>
      </c>
    </row>
    <row r="38" spans="1:10">
      <c r="E38" t="s">
        <v>3129</v>
      </c>
    </row>
    <row r="39" spans="1:10">
      <c r="A39" t="s">
        <v>3499</v>
      </c>
      <c r="B39" t="s">
        <v>433</v>
      </c>
      <c r="C39" t="s">
        <v>243</v>
      </c>
      <c r="D39" t="s">
        <v>3500</v>
      </c>
      <c r="E39" t="s">
        <v>3501</v>
      </c>
      <c r="G39" t="s">
        <v>26</v>
      </c>
      <c r="H39" t="s">
        <v>3502</v>
      </c>
      <c r="J39" t="s">
        <v>42</v>
      </c>
    </row>
    <row r="40" spans="1:10">
      <c r="E40" t="s">
        <v>3503</v>
      </c>
    </row>
    <row r="41" spans="1:10">
      <c r="A41" t="s">
        <v>3504</v>
      </c>
      <c r="B41" t="s">
        <v>433</v>
      </c>
      <c r="C41" t="s">
        <v>243</v>
      </c>
      <c r="D41" t="s">
        <v>3505</v>
      </c>
      <c r="E41" t="s">
        <v>3506</v>
      </c>
      <c r="G41" t="s">
        <v>26</v>
      </c>
      <c r="H41" t="s">
        <v>3507</v>
      </c>
      <c r="J41" t="s">
        <v>464</v>
      </c>
    </row>
    <row r="42" spans="1:10">
      <c r="E42" t="s">
        <v>3508</v>
      </c>
    </row>
    <row r="43" spans="1:10">
      <c r="A43" t="s">
        <v>3509</v>
      </c>
      <c r="B43" t="s">
        <v>433</v>
      </c>
      <c r="C43" t="s">
        <v>243</v>
      </c>
      <c r="D43" t="s">
        <v>3510</v>
      </c>
      <c r="E43" t="s">
        <v>3511</v>
      </c>
      <c r="G43" t="s">
        <v>26</v>
      </c>
      <c r="H43" t="s">
        <v>3512</v>
      </c>
      <c r="J43" t="s">
        <v>42</v>
      </c>
    </row>
    <row r="44" spans="1:10">
      <c r="E44" t="s">
        <v>3513</v>
      </c>
    </row>
    <row r="45" spans="1:10">
      <c r="E45" t="s">
        <v>3514</v>
      </c>
    </row>
    <row r="46" spans="1:10">
      <c r="E46" t="s">
        <v>3515</v>
      </c>
    </row>
    <row r="47" spans="1:10">
      <c r="E47" t="s">
        <v>3514</v>
      </c>
    </row>
    <row r="48" spans="1:10">
      <c r="A48" t="s">
        <v>3516</v>
      </c>
      <c r="B48" t="s">
        <v>433</v>
      </c>
      <c r="C48" t="s">
        <v>243</v>
      </c>
      <c r="D48" t="s">
        <v>3517</v>
      </c>
      <c r="E48" t="s">
        <v>3518</v>
      </c>
      <c r="F48" t="s">
        <v>3519</v>
      </c>
      <c r="G48" t="s">
        <v>521</v>
      </c>
      <c r="H48" t="s">
        <v>3520</v>
      </c>
      <c r="J48" t="s">
        <v>27</v>
      </c>
    </row>
    <row r="49" spans="1:10">
      <c r="E49" t="s">
        <v>3521</v>
      </c>
    </row>
    <row r="50" spans="1:10">
      <c r="E50" t="s">
        <v>1462</v>
      </c>
    </row>
    <row r="51" spans="1:10">
      <c r="A51" t="s">
        <v>3522</v>
      </c>
      <c r="B51" t="s">
        <v>433</v>
      </c>
      <c r="C51" t="s">
        <v>243</v>
      </c>
      <c r="D51" t="s">
        <v>3523</v>
      </c>
      <c r="E51" t="s">
        <v>3524</v>
      </c>
      <c r="G51" t="s">
        <v>26</v>
      </c>
      <c r="H51" t="s">
        <v>3525</v>
      </c>
      <c r="J51" t="s">
        <v>464</v>
      </c>
    </row>
    <row r="52" spans="1:10">
      <c r="E52" t="s">
        <v>3526</v>
      </c>
    </row>
    <row r="53" spans="1:10">
      <c r="E53" t="s">
        <v>3527</v>
      </c>
    </row>
    <row r="54" spans="1:10">
      <c r="A54" t="s">
        <v>3528</v>
      </c>
      <c r="B54" t="s">
        <v>433</v>
      </c>
      <c r="C54" t="s">
        <v>243</v>
      </c>
      <c r="D54" t="s">
        <v>3529</v>
      </c>
      <c r="E54" t="s">
        <v>3530</v>
      </c>
      <c r="G54" t="s">
        <v>26</v>
      </c>
      <c r="H54" t="s">
        <v>3531</v>
      </c>
      <c r="J54" t="s">
        <v>27</v>
      </c>
    </row>
    <row r="55" spans="1:10">
      <c r="E55" t="s">
        <v>3532</v>
      </c>
    </row>
    <row r="56" spans="1:10">
      <c r="A56" t="s">
        <v>3533</v>
      </c>
      <c r="B56" t="s">
        <v>433</v>
      </c>
      <c r="C56" t="s">
        <v>243</v>
      </c>
      <c r="D56" t="s">
        <v>3534</v>
      </c>
      <c r="E56" t="s">
        <v>3535</v>
      </c>
      <c r="F56" t="s">
        <v>3536</v>
      </c>
      <c r="G56" t="s">
        <v>521</v>
      </c>
      <c r="H56" t="s">
        <v>3537</v>
      </c>
      <c r="J56" t="s">
        <v>42</v>
      </c>
    </row>
    <row r="57" spans="1:10">
      <c r="E57" t="s">
        <v>3538</v>
      </c>
    </row>
    <row r="58" spans="1:10">
      <c r="E58" t="s">
        <v>1462</v>
      </c>
    </row>
    <row r="59" spans="1:10">
      <c r="A59" t="s">
        <v>3539</v>
      </c>
      <c r="B59" t="s">
        <v>433</v>
      </c>
      <c r="C59" t="s">
        <v>243</v>
      </c>
      <c r="D59" t="s">
        <v>3540</v>
      </c>
      <c r="E59" t="s">
        <v>3541</v>
      </c>
      <c r="F59" t="s">
        <v>3542</v>
      </c>
      <c r="G59" t="s">
        <v>521</v>
      </c>
      <c r="H59" t="s">
        <v>3543</v>
      </c>
      <c r="J59" t="s">
        <v>42</v>
      </c>
    </row>
    <row r="60" spans="1:10">
      <c r="E60" t="s">
        <v>3544</v>
      </c>
    </row>
    <row r="61" spans="1:10">
      <c r="E61" t="s">
        <v>1462</v>
      </c>
    </row>
    <row r="62" spans="1:10">
      <c r="A62" t="s">
        <v>3545</v>
      </c>
      <c r="B62" t="s">
        <v>433</v>
      </c>
      <c r="C62" t="s">
        <v>243</v>
      </c>
      <c r="D62" t="s">
        <v>3546</v>
      </c>
      <c r="E62" t="s">
        <v>3204</v>
      </c>
      <c r="G62" t="s">
        <v>26</v>
      </c>
      <c r="H62" t="s">
        <v>3547</v>
      </c>
      <c r="J62" t="s">
        <v>42</v>
      </c>
    </row>
    <row r="63" spans="1:10">
      <c r="E63" t="s">
        <v>3548</v>
      </c>
    </row>
    <row r="64" spans="1:10">
      <c r="E64" t="s">
        <v>3549</v>
      </c>
    </row>
    <row r="65" spans="1:10">
      <c r="E65" t="s">
        <v>3550</v>
      </c>
    </row>
    <row r="66" spans="1:10">
      <c r="A66" t="s">
        <v>3551</v>
      </c>
      <c r="B66" t="s">
        <v>433</v>
      </c>
      <c r="C66" t="s">
        <v>243</v>
      </c>
      <c r="D66" t="s">
        <v>3552</v>
      </c>
      <c r="E66" t="s">
        <v>3553</v>
      </c>
      <c r="G66" t="s">
        <v>26</v>
      </c>
      <c r="H66" t="s">
        <v>3554</v>
      </c>
      <c r="J66" t="s">
        <v>42</v>
      </c>
    </row>
    <row r="67" spans="1:10">
      <c r="E67" t="s">
        <v>3555</v>
      </c>
    </row>
    <row r="68" spans="1:10">
      <c r="A68" t="s">
        <v>3556</v>
      </c>
      <c r="B68" t="s">
        <v>433</v>
      </c>
      <c r="C68" t="s">
        <v>243</v>
      </c>
      <c r="D68" t="s">
        <v>3557</v>
      </c>
      <c r="E68" t="s">
        <v>3558</v>
      </c>
      <c r="G68" t="s">
        <v>26</v>
      </c>
      <c r="H68" t="s">
        <v>3559</v>
      </c>
      <c r="J68" t="s">
        <v>42</v>
      </c>
    </row>
    <row r="69" spans="1:10">
      <c r="E69" t="s">
        <v>3560</v>
      </c>
    </row>
    <row r="70" spans="1:10">
      <c r="E70" t="s">
        <v>3561</v>
      </c>
    </row>
    <row r="71" spans="1:10">
      <c r="A71" t="s">
        <v>3562</v>
      </c>
      <c r="B71" t="s">
        <v>433</v>
      </c>
      <c r="C71" t="s">
        <v>243</v>
      </c>
      <c r="D71" t="s">
        <v>2607</v>
      </c>
      <c r="E71" t="s">
        <v>3563</v>
      </c>
      <c r="G71" t="s">
        <v>26</v>
      </c>
      <c r="H71" t="s">
        <v>3564</v>
      </c>
      <c r="J71" t="s">
        <v>42</v>
      </c>
    </row>
    <row r="72" spans="1:10">
      <c r="E72" t="s">
        <v>2611</v>
      </c>
    </row>
    <row r="73" spans="1:10">
      <c r="A73" t="s">
        <v>3565</v>
      </c>
      <c r="B73" t="s">
        <v>433</v>
      </c>
      <c r="C73" t="s">
        <v>243</v>
      </c>
      <c r="D73" t="s">
        <v>3566</v>
      </c>
      <c r="E73" t="s">
        <v>3567</v>
      </c>
      <c r="G73" t="s">
        <v>26</v>
      </c>
      <c r="H73" t="s">
        <v>3568</v>
      </c>
      <c r="J73" t="s">
        <v>27</v>
      </c>
    </row>
    <row r="74" spans="1:10">
      <c r="E74" t="s">
        <v>3465</v>
      </c>
    </row>
    <row r="75" spans="1:10">
      <c r="E75" t="s">
        <v>3569</v>
      </c>
    </row>
    <row r="76" spans="1:10">
      <c r="A76" t="s">
        <v>3570</v>
      </c>
      <c r="B76" t="s">
        <v>433</v>
      </c>
      <c r="C76" t="s">
        <v>243</v>
      </c>
      <c r="D76" t="s">
        <v>1540</v>
      </c>
      <c r="E76" t="s">
        <v>3571</v>
      </c>
      <c r="G76" t="s">
        <v>26</v>
      </c>
      <c r="H76" t="s">
        <v>3572</v>
      </c>
      <c r="J76" t="s">
        <v>42</v>
      </c>
    </row>
    <row r="77" spans="1:10">
      <c r="E77" t="s">
        <v>1543</v>
      </c>
    </row>
    <row r="78" spans="1:10">
      <c r="A78" t="s">
        <v>3573</v>
      </c>
      <c r="B78" t="s">
        <v>433</v>
      </c>
      <c r="C78" t="s">
        <v>243</v>
      </c>
      <c r="D78" t="s">
        <v>3161</v>
      </c>
      <c r="E78" t="s">
        <v>3440</v>
      </c>
      <c r="F78" t="s">
        <v>1546</v>
      </c>
      <c r="G78" t="s">
        <v>75</v>
      </c>
      <c r="H78" t="s">
        <v>1547</v>
      </c>
      <c r="J78" t="s">
        <v>27</v>
      </c>
    </row>
    <row r="79" spans="1:10">
      <c r="E79" t="s">
        <v>3162</v>
      </c>
    </row>
    <row r="80" spans="1:10">
      <c r="E80" t="s">
        <v>1549</v>
      </c>
    </row>
  </sheetData>
  <pageMargins left="0.75" right="0.75" top="1" bottom="1" header="0.511811023622047" footer="0.511811023622047"/>
  <headerFooter/>
  <ignoredErrors>
    <ignoredError sqref="A1:L80" numberStoredAsText="1"/>
  </ignoredError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0"/>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3574</v>
      </c>
      <c r="B2" t="s">
        <v>433</v>
      </c>
      <c r="C2" t="s">
        <v>248</v>
      </c>
      <c r="D2" t="s">
        <v>3575</v>
      </c>
      <c r="E2" t="s">
        <v>3576</v>
      </c>
      <c r="G2" t="s">
        <v>26</v>
      </c>
      <c r="H2" t="s">
        <v>3577</v>
      </c>
      <c r="J2" t="s">
        <v>27</v>
      </c>
    </row>
    <row r="3" spans="1:12">
      <c r="E3" t="s">
        <v>3578</v>
      </c>
    </row>
    <row r="4" spans="1:12">
      <c r="A4" t="s">
        <v>3579</v>
      </c>
      <c r="B4" t="s">
        <v>433</v>
      </c>
      <c r="C4" t="s">
        <v>248</v>
      </c>
      <c r="D4" t="s">
        <v>3580</v>
      </c>
      <c r="E4" t="s">
        <v>3581</v>
      </c>
      <c r="G4" t="s">
        <v>26</v>
      </c>
      <c r="H4" t="s">
        <v>3582</v>
      </c>
      <c r="J4" t="s">
        <v>42</v>
      </c>
    </row>
    <row r="5" spans="1:12">
      <c r="E5" t="s">
        <v>3583</v>
      </c>
    </row>
    <row r="6" spans="1:12">
      <c r="A6" t="s">
        <v>3584</v>
      </c>
      <c r="B6" t="s">
        <v>433</v>
      </c>
      <c r="C6" t="s">
        <v>248</v>
      </c>
      <c r="D6" t="s">
        <v>3585</v>
      </c>
      <c r="E6" t="s">
        <v>3586</v>
      </c>
      <c r="G6" t="s">
        <v>26</v>
      </c>
      <c r="H6" t="s">
        <v>3587</v>
      </c>
      <c r="J6" t="s">
        <v>42</v>
      </c>
    </row>
    <row r="7" spans="1:12">
      <c r="E7" t="s">
        <v>3588</v>
      </c>
    </row>
    <row r="8" spans="1:12">
      <c r="A8" t="s">
        <v>3589</v>
      </c>
      <c r="B8" t="s">
        <v>433</v>
      </c>
      <c r="C8" t="s">
        <v>248</v>
      </c>
      <c r="D8" t="s">
        <v>3590</v>
      </c>
      <c r="E8" t="s">
        <v>3591</v>
      </c>
      <c r="G8" t="s">
        <v>26</v>
      </c>
      <c r="H8" t="s">
        <v>3592</v>
      </c>
      <c r="J8" t="s">
        <v>27</v>
      </c>
    </row>
    <row r="9" spans="1:12">
      <c r="E9" t="s">
        <v>3593</v>
      </c>
    </row>
    <row r="10" spans="1:12">
      <c r="E10" t="s">
        <v>2535</v>
      </c>
    </row>
    <row r="11" spans="1:12">
      <c r="A11" t="s">
        <v>3594</v>
      </c>
      <c r="B11" t="s">
        <v>433</v>
      </c>
      <c r="C11" t="s">
        <v>248</v>
      </c>
      <c r="D11" t="s">
        <v>3595</v>
      </c>
      <c r="E11" t="s">
        <v>3596</v>
      </c>
      <c r="G11" t="s">
        <v>26</v>
      </c>
      <c r="H11" t="s">
        <v>3597</v>
      </c>
      <c r="J11" t="s">
        <v>42</v>
      </c>
    </row>
    <row r="12" spans="1:12">
      <c r="E12" t="s">
        <v>3598</v>
      </c>
    </row>
    <row r="13" spans="1:12">
      <c r="E13" t="s">
        <v>2535</v>
      </c>
    </row>
    <row r="14" spans="1:12">
      <c r="A14" t="s">
        <v>3599</v>
      </c>
      <c r="B14" t="s">
        <v>433</v>
      </c>
      <c r="C14" t="s">
        <v>248</v>
      </c>
      <c r="D14" t="s">
        <v>3600</v>
      </c>
      <c r="E14" t="s">
        <v>3601</v>
      </c>
      <c r="G14" t="s">
        <v>26</v>
      </c>
      <c r="H14" t="s">
        <v>3602</v>
      </c>
      <c r="J14" t="s">
        <v>42</v>
      </c>
    </row>
    <row r="15" spans="1:12">
      <c r="E15" t="s">
        <v>3603</v>
      </c>
    </row>
    <row r="16" spans="1:12">
      <c r="E16" t="s">
        <v>3604</v>
      </c>
    </row>
    <row r="17" spans="1:10">
      <c r="A17" t="s">
        <v>3605</v>
      </c>
      <c r="B17" t="s">
        <v>433</v>
      </c>
      <c r="C17" t="s">
        <v>248</v>
      </c>
      <c r="D17" t="s">
        <v>3606</v>
      </c>
      <c r="E17" t="s">
        <v>3607</v>
      </c>
      <c r="G17" t="s">
        <v>26</v>
      </c>
      <c r="H17" t="s">
        <v>3608</v>
      </c>
      <c r="J17" t="s">
        <v>27</v>
      </c>
    </row>
    <row r="18" spans="1:10">
      <c r="E18" t="s">
        <v>3609</v>
      </c>
    </row>
    <row r="19" spans="1:10">
      <c r="A19" t="s">
        <v>3610</v>
      </c>
      <c r="B19" t="s">
        <v>433</v>
      </c>
      <c r="C19" t="s">
        <v>248</v>
      </c>
      <c r="D19" t="s">
        <v>3611</v>
      </c>
      <c r="E19" t="s">
        <v>3612</v>
      </c>
      <c r="G19" t="s">
        <v>26</v>
      </c>
      <c r="H19" t="s">
        <v>3613</v>
      </c>
      <c r="J19" t="s">
        <v>42</v>
      </c>
    </row>
    <row r="20" spans="1:10">
      <c r="E20" t="s">
        <v>3614</v>
      </c>
    </row>
    <row r="21" spans="1:10">
      <c r="E21" t="s">
        <v>3615</v>
      </c>
    </row>
    <row r="22" spans="1:10">
      <c r="E22" t="s">
        <v>2535</v>
      </c>
    </row>
    <row r="23" spans="1:10">
      <c r="A23" t="s">
        <v>3616</v>
      </c>
      <c r="B23" t="s">
        <v>433</v>
      </c>
      <c r="C23" t="s">
        <v>248</v>
      </c>
      <c r="D23" t="s">
        <v>3617</v>
      </c>
      <c r="E23" t="s">
        <v>3618</v>
      </c>
      <c r="F23" t="s">
        <v>3619</v>
      </c>
      <c r="G23" t="s">
        <v>521</v>
      </c>
      <c r="H23" t="s">
        <v>3620</v>
      </c>
      <c r="J23" t="s">
        <v>27</v>
      </c>
    </row>
    <row r="24" spans="1:10">
      <c r="E24" t="s">
        <v>3621</v>
      </c>
    </row>
    <row r="25" spans="1:10">
      <c r="A25" t="s">
        <v>3622</v>
      </c>
      <c r="B25" t="s">
        <v>433</v>
      </c>
      <c r="C25" t="s">
        <v>248</v>
      </c>
      <c r="D25" t="s">
        <v>3623</v>
      </c>
      <c r="E25" t="s">
        <v>3624</v>
      </c>
      <c r="G25" t="s">
        <v>26</v>
      </c>
      <c r="H25" t="s">
        <v>3625</v>
      </c>
      <c r="J25" t="s">
        <v>42</v>
      </c>
    </row>
    <row r="26" spans="1:10">
      <c r="E26" t="s">
        <v>3626</v>
      </c>
    </row>
    <row r="27" spans="1:10">
      <c r="E27" t="s">
        <v>3627</v>
      </c>
    </row>
    <row r="28" spans="1:10">
      <c r="A28" t="s">
        <v>3628</v>
      </c>
      <c r="B28" t="s">
        <v>433</v>
      </c>
      <c r="C28" t="s">
        <v>248</v>
      </c>
      <c r="D28" t="s">
        <v>3629</v>
      </c>
      <c r="E28" t="s">
        <v>3612</v>
      </c>
      <c r="G28" t="s">
        <v>26</v>
      </c>
      <c r="H28" t="s">
        <v>3630</v>
      </c>
      <c r="J28" t="s">
        <v>464</v>
      </c>
    </row>
    <row r="29" spans="1:10">
      <c r="E29" t="s">
        <v>3631</v>
      </c>
    </row>
    <row r="30" spans="1:10">
      <c r="A30" t="s">
        <v>3632</v>
      </c>
      <c r="B30" t="s">
        <v>433</v>
      </c>
      <c r="C30" t="s">
        <v>248</v>
      </c>
      <c r="D30" t="s">
        <v>3633</v>
      </c>
      <c r="E30" t="s">
        <v>3634</v>
      </c>
      <c r="G30" t="s">
        <v>26</v>
      </c>
      <c r="H30" t="s">
        <v>3635</v>
      </c>
      <c r="J30" t="s">
        <v>42</v>
      </c>
    </row>
    <row r="31" spans="1:10">
      <c r="E31" t="s">
        <v>3636</v>
      </c>
    </row>
    <row r="32" spans="1:10">
      <c r="A32" t="s">
        <v>3637</v>
      </c>
      <c r="B32" t="s">
        <v>433</v>
      </c>
      <c r="C32" t="s">
        <v>248</v>
      </c>
      <c r="D32" t="s">
        <v>3638</v>
      </c>
      <c r="E32" t="s">
        <v>3634</v>
      </c>
      <c r="G32" t="s">
        <v>26</v>
      </c>
      <c r="H32" t="s">
        <v>3639</v>
      </c>
      <c r="J32" t="s">
        <v>42</v>
      </c>
    </row>
    <row r="33" spans="1:10">
      <c r="E33" t="s">
        <v>3640</v>
      </c>
    </row>
    <row r="34" spans="1:10">
      <c r="A34" t="s">
        <v>3641</v>
      </c>
      <c r="B34" t="s">
        <v>433</v>
      </c>
      <c r="C34" t="s">
        <v>248</v>
      </c>
      <c r="D34" t="s">
        <v>3642</v>
      </c>
      <c r="E34" t="s">
        <v>3643</v>
      </c>
      <c r="G34" t="s">
        <v>26</v>
      </c>
      <c r="H34" t="s">
        <v>3644</v>
      </c>
      <c r="J34" t="s">
        <v>42</v>
      </c>
    </row>
    <row r="35" spans="1:10">
      <c r="E35" t="s">
        <v>3645</v>
      </c>
    </row>
    <row r="36" spans="1:10">
      <c r="A36" t="s">
        <v>3646</v>
      </c>
      <c r="B36" t="s">
        <v>433</v>
      </c>
      <c r="C36" t="s">
        <v>248</v>
      </c>
      <c r="D36" t="s">
        <v>3647</v>
      </c>
      <c r="E36" t="s">
        <v>3643</v>
      </c>
      <c r="F36" t="s">
        <v>3648</v>
      </c>
      <c r="G36" t="s">
        <v>26</v>
      </c>
      <c r="H36" t="s">
        <v>3649</v>
      </c>
      <c r="J36" t="s">
        <v>464</v>
      </c>
    </row>
    <row r="37" spans="1:10">
      <c r="E37" t="s">
        <v>3650</v>
      </c>
    </row>
    <row r="38" spans="1:10">
      <c r="E38" t="s">
        <v>714</v>
      </c>
    </row>
    <row r="39" spans="1:10">
      <c r="A39" t="s">
        <v>3651</v>
      </c>
      <c r="B39" t="s">
        <v>433</v>
      </c>
      <c r="C39" t="s">
        <v>248</v>
      </c>
      <c r="D39" t="s">
        <v>3652</v>
      </c>
      <c r="E39" t="s">
        <v>3643</v>
      </c>
      <c r="G39" t="s">
        <v>26</v>
      </c>
      <c r="H39" t="s">
        <v>3653</v>
      </c>
      <c r="J39" t="s">
        <v>464</v>
      </c>
    </row>
    <row r="40" spans="1:10">
      <c r="E40" t="s">
        <v>3654</v>
      </c>
    </row>
  </sheetData>
  <pageMargins left="0.75" right="0.75" top="1" bottom="1" header="0.511811023622047" footer="0.511811023622047"/>
  <headerFooter/>
  <ignoredErrors>
    <ignoredError sqref="A1:L40" numberStoredAsText="1"/>
  </ignoredError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6"/>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3655</v>
      </c>
      <c r="B2" t="s">
        <v>433</v>
      </c>
      <c r="C2" t="s">
        <v>253</v>
      </c>
      <c r="D2" t="s">
        <v>3656</v>
      </c>
      <c r="E2" t="s">
        <v>3657</v>
      </c>
      <c r="G2" t="s">
        <v>26</v>
      </c>
      <c r="H2" t="s">
        <v>3658</v>
      </c>
      <c r="J2" t="s">
        <v>27</v>
      </c>
    </row>
    <row r="3" spans="1:12">
      <c r="E3" t="s">
        <v>3659</v>
      </c>
    </row>
    <row r="4" spans="1:12">
      <c r="A4" t="s">
        <v>3660</v>
      </c>
      <c r="B4" t="s">
        <v>433</v>
      </c>
      <c r="C4" t="s">
        <v>253</v>
      </c>
      <c r="D4" t="s">
        <v>3661</v>
      </c>
      <c r="E4" t="s">
        <v>3662</v>
      </c>
      <c r="G4" t="s">
        <v>26</v>
      </c>
      <c r="H4" t="s">
        <v>3663</v>
      </c>
      <c r="J4" t="s">
        <v>27</v>
      </c>
    </row>
    <row r="5" spans="1:12">
      <c r="E5" t="s">
        <v>3664</v>
      </c>
    </row>
    <row r="6" spans="1:12">
      <c r="E6" t="s">
        <v>3665</v>
      </c>
    </row>
    <row r="7" spans="1:12">
      <c r="A7" t="s">
        <v>3666</v>
      </c>
      <c r="B7" t="s">
        <v>433</v>
      </c>
      <c r="C7" t="s">
        <v>253</v>
      </c>
      <c r="D7" t="s">
        <v>3667</v>
      </c>
      <c r="E7" t="s">
        <v>3668</v>
      </c>
      <c r="G7" t="s">
        <v>26</v>
      </c>
      <c r="H7" t="s">
        <v>3669</v>
      </c>
      <c r="J7" t="s">
        <v>42</v>
      </c>
    </row>
    <row r="8" spans="1:12">
      <c r="E8" t="s">
        <v>3670</v>
      </c>
    </row>
    <row r="9" spans="1:12">
      <c r="A9" t="s">
        <v>3671</v>
      </c>
      <c r="B9" t="s">
        <v>433</v>
      </c>
      <c r="C9" t="s">
        <v>253</v>
      </c>
      <c r="D9" t="s">
        <v>3672</v>
      </c>
      <c r="E9" t="s">
        <v>3673</v>
      </c>
      <c r="G9" t="s">
        <v>26</v>
      </c>
      <c r="H9" t="s">
        <v>3674</v>
      </c>
      <c r="J9" t="s">
        <v>42</v>
      </c>
    </row>
    <row r="10" spans="1:12">
      <c r="E10" t="s">
        <v>3675</v>
      </c>
    </row>
    <row r="11" spans="1:12">
      <c r="A11" t="s">
        <v>3676</v>
      </c>
      <c r="B11" t="s">
        <v>433</v>
      </c>
      <c r="C11" t="s">
        <v>253</v>
      </c>
      <c r="D11" t="s">
        <v>3677</v>
      </c>
      <c r="E11" t="s">
        <v>3678</v>
      </c>
      <c r="G11" t="s">
        <v>521</v>
      </c>
      <c r="H11" t="s">
        <v>3679</v>
      </c>
      <c r="J11" t="s">
        <v>27</v>
      </c>
    </row>
    <row r="12" spans="1:12">
      <c r="E12" t="s">
        <v>3680</v>
      </c>
    </row>
    <row r="13" spans="1:12">
      <c r="A13" t="s">
        <v>3681</v>
      </c>
      <c r="B13" t="s">
        <v>433</v>
      </c>
      <c r="C13" t="s">
        <v>253</v>
      </c>
      <c r="D13" t="s">
        <v>3682</v>
      </c>
      <c r="E13" t="s">
        <v>3683</v>
      </c>
      <c r="G13" t="s">
        <v>26</v>
      </c>
      <c r="H13" t="s">
        <v>3684</v>
      </c>
      <c r="J13" t="s">
        <v>27</v>
      </c>
    </row>
    <row r="14" spans="1:12">
      <c r="E14" t="s">
        <v>3685</v>
      </c>
    </row>
    <row r="15" spans="1:12">
      <c r="E15" t="s">
        <v>3686</v>
      </c>
    </row>
    <row r="16" spans="1:12">
      <c r="A16" t="s">
        <v>3687</v>
      </c>
      <c r="B16" t="s">
        <v>433</v>
      </c>
      <c r="C16" t="s">
        <v>253</v>
      </c>
      <c r="D16" t="s">
        <v>3688</v>
      </c>
      <c r="E16" t="s">
        <v>3689</v>
      </c>
      <c r="G16" t="s">
        <v>26</v>
      </c>
      <c r="H16" t="s">
        <v>3690</v>
      </c>
      <c r="J16" t="s">
        <v>42</v>
      </c>
    </row>
    <row r="17" spans="1:10">
      <c r="E17" t="s">
        <v>3691</v>
      </c>
    </row>
    <row r="18" spans="1:10">
      <c r="A18" t="s">
        <v>3692</v>
      </c>
      <c r="B18" t="s">
        <v>433</v>
      </c>
      <c r="C18" t="s">
        <v>253</v>
      </c>
      <c r="D18" t="s">
        <v>3693</v>
      </c>
      <c r="E18" t="s">
        <v>3694</v>
      </c>
      <c r="G18" t="s">
        <v>521</v>
      </c>
      <c r="H18" t="s">
        <v>3695</v>
      </c>
      <c r="J18" t="s">
        <v>27</v>
      </c>
    </row>
    <row r="19" spans="1:10">
      <c r="E19" t="s">
        <v>3696</v>
      </c>
    </row>
    <row r="20" spans="1:10">
      <c r="E20" t="s">
        <v>3697</v>
      </c>
    </row>
    <row r="21" spans="1:10">
      <c r="A21" t="s">
        <v>3698</v>
      </c>
      <c r="B21" t="s">
        <v>433</v>
      </c>
      <c r="C21" t="s">
        <v>253</v>
      </c>
      <c r="D21" t="s">
        <v>3699</v>
      </c>
      <c r="E21" t="s">
        <v>3700</v>
      </c>
      <c r="G21" t="s">
        <v>26</v>
      </c>
      <c r="H21" t="s">
        <v>3701</v>
      </c>
      <c r="J21" t="s">
        <v>42</v>
      </c>
    </row>
    <row r="22" spans="1:10">
      <c r="E22" t="s">
        <v>3702</v>
      </c>
    </row>
    <row r="23" spans="1:10">
      <c r="A23" t="s">
        <v>3703</v>
      </c>
      <c r="B23" t="s">
        <v>433</v>
      </c>
      <c r="C23" t="s">
        <v>253</v>
      </c>
      <c r="D23" t="s">
        <v>3704</v>
      </c>
      <c r="E23" t="s">
        <v>3705</v>
      </c>
      <c r="G23" t="s">
        <v>26</v>
      </c>
      <c r="H23" t="s">
        <v>3706</v>
      </c>
      <c r="J23" t="s">
        <v>42</v>
      </c>
    </row>
    <row r="24" spans="1:10">
      <c r="E24" t="s">
        <v>3707</v>
      </c>
    </row>
    <row r="25" spans="1:10">
      <c r="A25" t="s">
        <v>3708</v>
      </c>
      <c r="B25" t="s">
        <v>433</v>
      </c>
      <c r="C25" t="s">
        <v>253</v>
      </c>
      <c r="D25" t="s">
        <v>3709</v>
      </c>
      <c r="E25" t="s">
        <v>3710</v>
      </c>
      <c r="G25" t="s">
        <v>26</v>
      </c>
      <c r="H25" t="s">
        <v>3711</v>
      </c>
      <c r="J25" t="s">
        <v>27</v>
      </c>
    </row>
    <row r="26" spans="1:10">
      <c r="E26" t="s">
        <v>3712</v>
      </c>
    </row>
    <row r="27" spans="1:10">
      <c r="A27" t="s">
        <v>3713</v>
      </c>
      <c r="B27" t="s">
        <v>433</v>
      </c>
      <c r="C27" t="s">
        <v>253</v>
      </c>
      <c r="D27" t="s">
        <v>3714</v>
      </c>
      <c r="E27" t="s">
        <v>3715</v>
      </c>
      <c r="G27" t="s">
        <v>26</v>
      </c>
      <c r="H27" t="s">
        <v>3716</v>
      </c>
      <c r="J27" t="s">
        <v>42</v>
      </c>
    </row>
    <row r="28" spans="1:10">
      <c r="E28" t="s">
        <v>3717</v>
      </c>
    </row>
    <row r="29" spans="1:10">
      <c r="A29" t="s">
        <v>3718</v>
      </c>
      <c r="B29" t="s">
        <v>433</v>
      </c>
      <c r="C29" t="s">
        <v>253</v>
      </c>
      <c r="D29" t="s">
        <v>3719</v>
      </c>
      <c r="E29" t="s">
        <v>3710</v>
      </c>
      <c r="G29" t="s">
        <v>26</v>
      </c>
      <c r="H29" t="s">
        <v>3720</v>
      </c>
      <c r="J29" t="s">
        <v>42</v>
      </c>
    </row>
    <row r="30" spans="1:10">
      <c r="E30" t="s">
        <v>3721</v>
      </c>
    </row>
    <row r="31" spans="1:10">
      <c r="A31" t="s">
        <v>3722</v>
      </c>
      <c r="B31" t="s">
        <v>433</v>
      </c>
      <c r="C31" t="s">
        <v>253</v>
      </c>
      <c r="D31" t="s">
        <v>3723</v>
      </c>
      <c r="E31" t="s">
        <v>3700</v>
      </c>
      <c r="G31" t="s">
        <v>26</v>
      </c>
      <c r="H31" t="s">
        <v>3724</v>
      </c>
      <c r="J31" t="s">
        <v>464</v>
      </c>
    </row>
    <row r="32" spans="1:10">
      <c r="E32" t="s">
        <v>3725</v>
      </c>
    </row>
    <row r="33" spans="1:10">
      <c r="A33" t="s">
        <v>3726</v>
      </c>
      <c r="B33" t="s">
        <v>433</v>
      </c>
      <c r="C33" t="s">
        <v>253</v>
      </c>
      <c r="D33" t="s">
        <v>3727</v>
      </c>
      <c r="E33" t="s">
        <v>3728</v>
      </c>
      <c r="G33" t="s">
        <v>521</v>
      </c>
      <c r="H33" t="s">
        <v>3729</v>
      </c>
      <c r="J33" t="s">
        <v>27</v>
      </c>
    </row>
    <row r="34" spans="1:10">
      <c r="E34" t="s">
        <v>3730</v>
      </c>
    </row>
    <row r="35" spans="1:10">
      <c r="A35" t="s">
        <v>3731</v>
      </c>
      <c r="B35" t="s">
        <v>433</v>
      </c>
      <c r="C35" t="s">
        <v>253</v>
      </c>
      <c r="D35" t="s">
        <v>3732</v>
      </c>
      <c r="E35" t="s">
        <v>3733</v>
      </c>
      <c r="G35" t="s">
        <v>521</v>
      </c>
      <c r="H35" t="s">
        <v>3734</v>
      </c>
      <c r="J35" t="s">
        <v>27</v>
      </c>
    </row>
    <row r="36" spans="1:10">
      <c r="E36" t="s">
        <v>3735</v>
      </c>
    </row>
  </sheetData>
  <pageMargins left="0.75" right="0.75" top="1" bottom="1" header="0.511811023622047" footer="0.511811023622047"/>
  <headerFooter/>
  <ignoredErrors>
    <ignoredError sqref="A1:L36" numberStoredAsText="1"/>
  </ignoredError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6"/>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3736</v>
      </c>
      <c r="B2" t="s">
        <v>433</v>
      </c>
      <c r="C2" t="s">
        <v>258</v>
      </c>
      <c r="D2" t="s">
        <v>3737</v>
      </c>
      <c r="E2" t="s">
        <v>3738</v>
      </c>
      <c r="G2" t="s">
        <v>26</v>
      </c>
      <c r="H2" t="s">
        <v>3739</v>
      </c>
      <c r="J2" t="s">
        <v>27</v>
      </c>
    </row>
    <row r="3" spans="1:12">
      <c r="E3" t="s">
        <v>3740</v>
      </c>
    </row>
    <row r="4" spans="1:12">
      <c r="A4" t="s">
        <v>3741</v>
      </c>
      <c r="B4" t="s">
        <v>433</v>
      </c>
      <c r="C4" t="s">
        <v>258</v>
      </c>
      <c r="D4" t="s">
        <v>3742</v>
      </c>
      <c r="E4" t="s">
        <v>3743</v>
      </c>
      <c r="G4" t="s">
        <v>26</v>
      </c>
      <c r="H4" t="s">
        <v>3744</v>
      </c>
      <c r="J4" t="s">
        <v>27</v>
      </c>
    </row>
    <row r="5" spans="1:12">
      <c r="E5" t="s">
        <v>3745</v>
      </c>
    </row>
    <row r="6" spans="1:12">
      <c r="A6" t="s">
        <v>3746</v>
      </c>
      <c r="B6" t="s">
        <v>433</v>
      </c>
      <c r="C6" t="s">
        <v>258</v>
      </c>
      <c r="D6" t="s">
        <v>3747</v>
      </c>
      <c r="E6" t="s">
        <v>3748</v>
      </c>
      <c r="G6" t="s">
        <v>26</v>
      </c>
      <c r="H6" t="s">
        <v>3749</v>
      </c>
      <c r="J6" t="s">
        <v>27</v>
      </c>
    </row>
    <row r="7" spans="1:12">
      <c r="E7" t="s">
        <v>3750</v>
      </c>
    </row>
    <row r="8" spans="1:12">
      <c r="E8" t="s">
        <v>2535</v>
      </c>
    </row>
    <row r="9" spans="1:12">
      <c r="A9" t="s">
        <v>3751</v>
      </c>
      <c r="B9" t="s">
        <v>433</v>
      </c>
      <c r="C9" t="s">
        <v>258</v>
      </c>
      <c r="D9" t="s">
        <v>3752</v>
      </c>
      <c r="E9" t="s">
        <v>3753</v>
      </c>
      <c r="G9" t="s">
        <v>26</v>
      </c>
      <c r="H9" t="s">
        <v>3754</v>
      </c>
      <c r="J9" t="s">
        <v>42</v>
      </c>
    </row>
    <row r="10" spans="1:12">
      <c r="E10" t="s">
        <v>3755</v>
      </c>
    </row>
    <row r="11" spans="1:12">
      <c r="A11" t="s">
        <v>3756</v>
      </c>
      <c r="B11" t="s">
        <v>433</v>
      </c>
      <c r="C11" t="s">
        <v>258</v>
      </c>
      <c r="D11" t="s">
        <v>3757</v>
      </c>
      <c r="E11" t="s">
        <v>3753</v>
      </c>
      <c r="G11" t="s">
        <v>26</v>
      </c>
      <c r="H11" t="s">
        <v>3758</v>
      </c>
      <c r="J11" t="s">
        <v>464</v>
      </c>
    </row>
    <row r="12" spans="1:12">
      <c r="E12" t="s">
        <v>3759</v>
      </c>
    </row>
    <row r="13" spans="1:12">
      <c r="A13" t="s">
        <v>3760</v>
      </c>
      <c r="B13" t="s">
        <v>433</v>
      </c>
      <c r="C13" t="s">
        <v>258</v>
      </c>
      <c r="D13" t="s">
        <v>3761</v>
      </c>
      <c r="E13" t="s">
        <v>3753</v>
      </c>
      <c r="G13" t="s">
        <v>26</v>
      </c>
      <c r="H13" t="s">
        <v>3762</v>
      </c>
      <c r="J13" t="s">
        <v>42</v>
      </c>
    </row>
    <row r="14" spans="1:12">
      <c r="E14" t="s">
        <v>3763</v>
      </c>
    </row>
    <row r="15" spans="1:12">
      <c r="A15" t="s">
        <v>3764</v>
      </c>
      <c r="B15" t="s">
        <v>433</v>
      </c>
      <c r="C15" t="s">
        <v>258</v>
      </c>
      <c r="D15" t="s">
        <v>3765</v>
      </c>
      <c r="E15" t="s">
        <v>3766</v>
      </c>
      <c r="G15" t="s">
        <v>26</v>
      </c>
      <c r="H15" t="s">
        <v>3767</v>
      </c>
      <c r="J15" t="s">
        <v>42</v>
      </c>
    </row>
    <row r="16" spans="1:12">
      <c r="E16" t="s">
        <v>3768</v>
      </c>
    </row>
    <row r="17" spans="1:10">
      <c r="A17" t="s">
        <v>3769</v>
      </c>
      <c r="B17" t="s">
        <v>433</v>
      </c>
      <c r="C17" t="s">
        <v>258</v>
      </c>
      <c r="D17" t="s">
        <v>3770</v>
      </c>
      <c r="E17" t="s">
        <v>3766</v>
      </c>
      <c r="G17" t="s">
        <v>26</v>
      </c>
      <c r="H17" t="s">
        <v>3771</v>
      </c>
      <c r="J17" t="s">
        <v>42</v>
      </c>
    </row>
    <row r="18" spans="1:10">
      <c r="E18" t="s">
        <v>3772</v>
      </c>
    </row>
    <row r="19" spans="1:10">
      <c r="A19" t="s">
        <v>3773</v>
      </c>
      <c r="B19" t="s">
        <v>433</v>
      </c>
      <c r="C19" t="s">
        <v>258</v>
      </c>
      <c r="D19" t="s">
        <v>3774</v>
      </c>
      <c r="E19" t="s">
        <v>3775</v>
      </c>
      <c r="G19" t="s">
        <v>26</v>
      </c>
      <c r="H19" t="s">
        <v>3776</v>
      </c>
      <c r="J19" t="s">
        <v>27</v>
      </c>
    </row>
    <row r="20" spans="1:10">
      <c r="E20" t="s">
        <v>3777</v>
      </c>
    </row>
    <row r="21" spans="1:10">
      <c r="A21" t="s">
        <v>3778</v>
      </c>
      <c r="B21" t="s">
        <v>433</v>
      </c>
      <c r="C21" t="s">
        <v>258</v>
      </c>
      <c r="D21" t="s">
        <v>3779</v>
      </c>
      <c r="E21" t="s">
        <v>3780</v>
      </c>
      <c r="G21" t="s">
        <v>26</v>
      </c>
      <c r="H21" t="s">
        <v>3781</v>
      </c>
      <c r="J21" t="s">
        <v>42</v>
      </c>
    </row>
    <row r="22" spans="1:10">
      <c r="E22" t="s">
        <v>3782</v>
      </c>
    </row>
    <row r="23" spans="1:10">
      <c r="E23" t="s">
        <v>3783</v>
      </c>
    </row>
    <row r="24" spans="1:10">
      <c r="A24" t="s">
        <v>3784</v>
      </c>
      <c r="B24" t="s">
        <v>433</v>
      </c>
      <c r="C24" t="s">
        <v>258</v>
      </c>
      <c r="D24" t="s">
        <v>3785</v>
      </c>
      <c r="E24" t="s">
        <v>3786</v>
      </c>
      <c r="G24" t="s">
        <v>26</v>
      </c>
      <c r="H24" t="s">
        <v>3787</v>
      </c>
      <c r="J24" t="s">
        <v>42</v>
      </c>
    </row>
    <row r="25" spans="1:10">
      <c r="E25" t="s">
        <v>3788</v>
      </c>
    </row>
    <row r="26" spans="1:10">
      <c r="A26" t="s">
        <v>3789</v>
      </c>
      <c r="B26" t="s">
        <v>433</v>
      </c>
      <c r="C26" t="s">
        <v>258</v>
      </c>
      <c r="D26" t="s">
        <v>3790</v>
      </c>
      <c r="E26" t="s">
        <v>3786</v>
      </c>
      <c r="G26" t="s">
        <v>26</v>
      </c>
      <c r="H26" t="s">
        <v>3791</v>
      </c>
      <c r="J26" t="s">
        <v>42</v>
      </c>
    </row>
    <row r="27" spans="1:10">
      <c r="E27" t="s">
        <v>3792</v>
      </c>
    </row>
    <row r="28" spans="1:10">
      <c r="A28" t="s">
        <v>3793</v>
      </c>
      <c r="B28" t="s">
        <v>433</v>
      </c>
      <c r="C28" t="s">
        <v>258</v>
      </c>
      <c r="D28" t="s">
        <v>3794</v>
      </c>
      <c r="E28" t="s">
        <v>3786</v>
      </c>
      <c r="G28" t="s">
        <v>26</v>
      </c>
      <c r="H28" t="s">
        <v>3795</v>
      </c>
      <c r="J28" t="s">
        <v>42</v>
      </c>
    </row>
    <row r="29" spans="1:10">
      <c r="E29" t="s">
        <v>3796</v>
      </c>
    </row>
    <row r="30" spans="1:10">
      <c r="A30" t="s">
        <v>3797</v>
      </c>
      <c r="B30" t="s">
        <v>433</v>
      </c>
      <c r="C30" t="s">
        <v>258</v>
      </c>
      <c r="D30" t="s">
        <v>3798</v>
      </c>
      <c r="E30" t="s">
        <v>3743</v>
      </c>
      <c r="G30" t="s">
        <v>26</v>
      </c>
      <c r="H30" t="s">
        <v>3799</v>
      </c>
      <c r="J30" t="s">
        <v>464</v>
      </c>
    </row>
    <row r="31" spans="1:10">
      <c r="E31" t="s">
        <v>3800</v>
      </c>
    </row>
    <row r="32" spans="1:10">
      <c r="A32" t="s">
        <v>3801</v>
      </c>
      <c r="B32" t="s">
        <v>433</v>
      </c>
      <c r="C32" t="s">
        <v>258</v>
      </c>
      <c r="D32" t="s">
        <v>3802</v>
      </c>
      <c r="E32" t="s">
        <v>3803</v>
      </c>
      <c r="G32" t="s">
        <v>521</v>
      </c>
      <c r="H32" t="s">
        <v>3804</v>
      </c>
      <c r="J32" t="s">
        <v>27</v>
      </c>
    </row>
    <row r="33" spans="1:10">
      <c r="E33" t="s">
        <v>3805</v>
      </c>
    </row>
    <row r="34" spans="1:10">
      <c r="E34" t="s">
        <v>3806</v>
      </c>
    </row>
    <row r="35" spans="1:10">
      <c r="A35" t="s">
        <v>3807</v>
      </c>
      <c r="B35" t="s">
        <v>433</v>
      </c>
      <c r="C35" t="s">
        <v>258</v>
      </c>
      <c r="D35" t="s">
        <v>3808</v>
      </c>
      <c r="E35" t="s">
        <v>3809</v>
      </c>
      <c r="G35" t="s">
        <v>521</v>
      </c>
      <c r="H35" t="s">
        <v>3810</v>
      </c>
      <c r="J35" t="s">
        <v>42</v>
      </c>
    </row>
    <row r="36" spans="1:10">
      <c r="E36" t="s">
        <v>3811</v>
      </c>
    </row>
  </sheetData>
  <pageMargins left="0.75" right="0.75" top="1" bottom="1" header="0.511811023622047" footer="0.511811023622047"/>
  <headerFooter/>
  <ignoredErrors>
    <ignoredError sqref="A1:L36" numberStoredAsText="1"/>
  </ignoredError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8"/>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3812</v>
      </c>
      <c r="B2" t="s">
        <v>433</v>
      </c>
      <c r="C2" t="s">
        <v>263</v>
      </c>
      <c r="D2" t="s">
        <v>3813</v>
      </c>
      <c r="E2" t="s">
        <v>3814</v>
      </c>
      <c r="G2" t="s">
        <v>26</v>
      </c>
      <c r="H2" t="s">
        <v>3815</v>
      </c>
      <c r="J2" t="s">
        <v>27</v>
      </c>
    </row>
    <row r="3" spans="1:12">
      <c r="E3" t="s">
        <v>3816</v>
      </c>
    </row>
    <row r="4" spans="1:12">
      <c r="A4" t="s">
        <v>3817</v>
      </c>
      <c r="B4" t="s">
        <v>433</v>
      </c>
      <c r="C4" t="s">
        <v>263</v>
      </c>
      <c r="D4" t="s">
        <v>3818</v>
      </c>
      <c r="E4" t="s">
        <v>3819</v>
      </c>
      <c r="G4" t="s">
        <v>26</v>
      </c>
      <c r="H4" t="s">
        <v>3820</v>
      </c>
      <c r="J4" t="s">
        <v>42</v>
      </c>
    </row>
    <row r="5" spans="1:12">
      <c r="E5" t="s">
        <v>3821</v>
      </c>
    </row>
    <row r="6" spans="1:12">
      <c r="A6" t="s">
        <v>3822</v>
      </c>
      <c r="B6" t="s">
        <v>433</v>
      </c>
      <c r="C6" t="s">
        <v>263</v>
      </c>
      <c r="D6" t="s">
        <v>3823</v>
      </c>
      <c r="E6" t="s">
        <v>3824</v>
      </c>
      <c r="G6" t="s">
        <v>26</v>
      </c>
      <c r="H6" t="s">
        <v>3825</v>
      </c>
      <c r="J6" t="s">
        <v>27</v>
      </c>
    </row>
    <row r="7" spans="1:12">
      <c r="E7" t="s">
        <v>3826</v>
      </c>
    </row>
    <row r="8" spans="1:12">
      <c r="A8" t="s">
        <v>3827</v>
      </c>
      <c r="B8" t="s">
        <v>433</v>
      </c>
      <c r="C8" t="s">
        <v>263</v>
      </c>
      <c r="D8" t="s">
        <v>3828</v>
      </c>
      <c r="E8" t="s">
        <v>3829</v>
      </c>
      <c r="G8" t="s">
        <v>26</v>
      </c>
      <c r="H8" t="s">
        <v>3830</v>
      </c>
      <c r="J8" t="s">
        <v>42</v>
      </c>
    </row>
    <row r="9" spans="1:12">
      <c r="E9" t="s">
        <v>3831</v>
      </c>
    </row>
    <row r="10" spans="1:12">
      <c r="A10" t="s">
        <v>3832</v>
      </c>
      <c r="B10" t="s">
        <v>433</v>
      </c>
      <c r="C10" t="s">
        <v>263</v>
      </c>
      <c r="D10" t="s">
        <v>3080</v>
      </c>
      <c r="E10" t="s">
        <v>3833</v>
      </c>
      <c r="G10" t="s">
        <v>26</v>
      </c>
      <c r="H10" t="s">
        <v>3834</v>
      </c>
      <c r="J10" t="s">
        <v>464</v>
      </c>
    </row>
    <row r="11" spans="1:12">
      <c r="E11" t="s">
        <v>3083</v>
      </c>
    </row>
    <row r="12" spans="1:12">
      <c r="A12" t="s">
        <v>3835</v>
      </c>
      <c r="B12" t="s">
        <v>433</v>
      </c>
      <c r="C12" t="s">
        <v>263</v>
      </c>
      <c r="D12" t="s">
        <v>3836</v>
      </c>
      <c r="E12" t="s">
        <v>3837</v>
      </c>
      <c r="G12" t="s">
        <v>26</v>
      </c>
      <c r="H12" t="s">
        <v>3838</v>
      </c>
      <c r="J12" t="s">
        <v>464</v>
      </c>
    </row>
    <row r="13" spans="1:12">
      <c r="E13" t="s">
        <v>3088</v>
      </c>
    </row>
    <row r="14" spans="1:12">
      <c r="A14" t="s">
        <v>3839</v>
      </c>
      <c r="B14" t="s">
        <v>433</v>
      </c>
      <c r="C14" t="s">
        <v>263</v>
      </c>
      <c r="D14" t="s">
        <v>3090</v>
      </c>
      <c r="E14" t="s">
        <v>3840</v>
      </c>
      <c r="G14" t="s">
        <v>26</v>
      </c>
      <c r="H14" t="s">
        <v>3841</v>
      </c>
      <c r="J14" t="s">
        <v>27</v>
      </c>
    </row>
    <row r="15" spans="1:12">
      <c r="E15" t="s">
        <v>3842</v>
      </c>
    </row>
    <row r="16" spans="1:12">
      <c r="A16" t="s">
        <v>3843</v>
      </c>
      <c r="B16" t="s">
        <v>433</v>
      </c>
      <c r="C16" t="s">
        <v>263</v>
      </c>
      <c r="D16" t="s">
        <v>3844</v>
      </c>
      <c r="E16" t="s">
        <v>3845</v>
      </c>
      <c r="F16" t="s">
        <v>3846</v>
      </c>
      <c r="G16" t="s">
        <v>26</v>
      </c>
      <c r="H16" t="s">
        <v>3847</v>
      </c>
      <c r="J16" t="s">
        <v>42</v>
      </c>
    </row>
    <row r="17" spans="1:10">
      <c r="E17" t="s">
        <v>3848</v>
      </c>
    </row>
    <row r="18" spans="1:10">
      <c r="E18" t="s">
        <v>3849</v>
      </c>
    </row>
    <row r="19" spans="1:10">
      <c r="E19" t="s">
        <v>1262</v>
      </c>
    </row>
    <row r="20" spans="1:10">
      <c r="A20" t="s">
        <v>3850</v>
      </c>
      <c r="B20" t="s">
        <v>433</v>
      </c>
      <c r="C20" t="s">
        <v>263</v>
      </c>
      <c r="D20" t="s">
        <v>3851</v>
      </c>
      <c r="E20" t="s">
        <v>3852</v>
      </c>
      <c r="G20" t="s">
        <v>26</v>
      </c>
      <c r="H20" t="s">
        <v>3853</v>
      </c>
      <c r="J20" t="s">
        <v>27</v>
      </c>
    </row>
    <row r="21" spans="1:10">
      <c r="E21" t="s">
        <v>3854</v>
      </c>
    </row>
    <row r="22" spans="1:10">
      <c r="A22" t="s">
        <v>3855</v>
      </c>
      <c r="B22" t="s">
        <v>433</v>
      </c>
      <c r="C22" t="s">
        <v>263</v>
      </c>
      <c r="D22" t="s">
        <v>3856</v>
      </c>
      <c r="E22" t="s">
        <v>3845</v>
      </c>
      <c r="G22" t="s">
        <v>26</v>
      </c>
      <c r="H22" t="s">
        <v>3857</v>
      </c>
      <c r="J22" t="s">
        <v>42</v>
      </c>
    </row>
    <row r="23" spans="1:10">
      <c r="E23" t="s">
        <v>3858</v>
      </c>
    </row>
    <row r="24" spans="1:10">
      <c r="A24" t="s">
        <v>3859</v>
      </c>
      <c r="B24" t="s">
        <v>433</v>
      </c>
      <c r="C24" t="s">
        <v>263</v>
      </c>
      <c r="D24" t="s">
        <v>3860</v>
      </c>
      <c r="E24" t="s">
        <v>3861</v>
      </c>
      <c r="G24" t="s">
        <v>26</v>
      </c>
      <c r="H24" t="s">
        <v>3862</v>
      </c>
      <c r="J24" t="s">
        <v>27</v>
      </c>
    </row>
    <row r="25" spans="1:10">
      <c r="E25" t="s">
        <v>3863</v>
      </c>
    </row>
    <row r="26" spans="1:10">
      <c r="A26" t="s">
        <v>3864</v>
      </c>
      <c r="B26" t="s">
        <v>433</v>
      </c>
      <c r="C26" t="s">
        <v>263</v>
      </c>
      <c r="D26" t="s">
        <v>3865</v>
      </c>
      <c r="E26" t="s">
        <v>3866</v>
      </c>
      <c r="G26" t="s">
        <v>26</v>
      </c>
      <c r="H26" t="s">
        <v>3867</v>
      </c>
      <c r="J26" t="s">
        <v>42</v>
      </c>
    </row>
    <row r="27" spans="1:10">
      <c r="E27" t="s">
        <v>3868</v>
      </c>
    </row>
    <row r="28" spans="1:10">
      <c r="A28" t="s">
        <v>3869</v>
      </c>
      <c r="B28" t="s">
        <v>433</v>
      </c>
      <c r="C28" t="s">
        <v>263</v>
      </c>
      <c r="D28" t="s">
        <v>3870</v>
      </c>
      <c r="E28" t="s">
        <v>3871</v>
      </c>
      <c r="G28" t="s">
        <v>26</v>
      </c>
      <c r="H28" t="s">
        <v>3872</v>
      </c>
      <c r="J28" t="s">
        <v>27</v>
      </c>
    </row>
    <row r="29" spans="1:10">
      <c r="E29" t="s">
        <v>3873</v>
      </c>
    </row>
    <row r="30" spans="1:10">
      <c r="A30" t="s">
        <v>3874</v>
      </c>
      <c r="B30" t="s">
        <v>433</v>
      </c>
      <c r="C30" t="s">
        <v>263</v>
      </c>
      <c r="D30" t="s">
        <v>3875</v>
      </c>
      <c r="E30" t="s">
        <v>3876</v>
      </c>
      <c r="G30" t="s">
        <v>26</v>
      </c>
      <c r="H30" t="s">
        <v>3877</v>
      </c>
      <c r="J30" t="s">
        <v>27</v>
      </c>
    </row>
    <row r="31" spans="1:10">
      <c r="E31" t="s">
        <v>3878</v>
      </c>
    </row>
    <row r="32" spans="1:10">
      <c r="E32" t="s">
        <v>3879</v>
      </c>
    </row>
    <row r="33" spans="1:10">
      <c r="A33" t="s">
        <v>3880</v>
      </c>
      <c r="B33" t="s">
        <v>433</v>
      </c>
      <c r="C33" t="s">
        <v>263</v>
      </c>
      <c r="D33" t="s">
        <v>2959</v>
      </c>
      <c r="E33" t="s">
        <v>3852</v>
      </c>
      <c r="G33" t="s">
        <v>26</v>
      </c>
      <c r="H33" t="s">
        <v>3881</v>
      </c>
      <c r="J33" t="s">
        <v>464</v>
      </c>
    </row>
    <row r="34" spans="1:10">
      <c r="E34" t="s">
        <v>1331</v>
      </c>
    </row>
    <row r="35" spans="1:10">
      <c r="A35" t="s">
        <v>3882</v>
      </c>
      <c r="B35" t="s">
        <v>433</v>
      </c>
      <c r="C35" t="s">
        <v>263</v>
      </c>
      <c r="D35" t="s">
        <v>3883</v>
      </c>
      <c r="E35" t="s">
        <v>3884</v>
      </c>
      <c r="G35" t="s">
        <v>521</v>
      </c>
      <c r="H35" t="s">
        <v>3885</v>
      </c>
      <c r="J35" t="s">
        <v>27</v>
      </c>
    </row>
    <row r="36" spans="1:10">
      <c r="E36" t="s">
        <v>3886</v>
      </c>
    </row>
    <row r="37" spans="1:10">
      <c r="A37" t="s">
        <v>3887</v>
      </c>
      <c r="B37" t="s">
        <v>433</v>
      </c>
      <c r="C37" t="s">
        <v>263</v>
      </c>
      <c r="D37" t="s">
        <v>3888</v>
      </c>
      <c r="E37" t="s">
        <v>3889</v>
      </c>
      <c r="G37" t="s">
        <v>521</v>
      </c>
      <c r="H37" t="s">
        <v>3890</v>
      </c>
      <c r="J37" t="s">
        <v>42</v>
      </c>
    </row>
    <row r="38" spans="1:10">
      <c r="E38" t="s">
        <v>3891</v>
      </c>
    </row>
  </sheetData>
  <pageMargins left="0.75" right="0.75" top="1" bottom="1" header="0.511811023622047" footer="0.511811023622047"/>
  <headerFooter/>
  <ignoredErrors>
    <ignoredError sqref="A1:L38" numberStoredAsText="1"/>
  </ignoredError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6"/>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3892</v>
      </c>
      <c r="B2" t="s">
        <v>433</v>
      </c>
      <c r="C2" t="s">
        <v>267</v>
      </c>
      <c r="D2" t="s">
        <v>3893</v>
      </c>
      <c r="E2" t="s">
        <v>3894</v>
      </c>
      <c r="G2" t="s">
        <v>26</v>
      </c>
      <c r="H2" t="s">
        <v>3895</v>
      </c>
      <c r="J2" t="s">
        <v>27</v>
      </c>
    </row>
    <row r="3" spans="1:12">
      <c r="E3" t="s">
        <v>1395</v>
      </c>
    </row>
    <row r="4" spans="1:12">
      <c r="A4" t="s">
        <v>3896</v>
      </c>
      <c r="B4" t="s">
        <v>433</v>
      </c>
      <c r="C4" t="s">
        <v>267</v>
      </c>
      <c r="D4" t="s">
        <v>3897</v>
      </c>
      <c r="E4" t="s">
        <v>3898</v>
      </c>
      <c r="F4" t="s">
        <v>3899</v>
      </c>
      <c r="G4" t="s">
        <v>26</v>
      </c>
      <c r="H4" t="s">
        <v>3900</v>
      </c>
      <c r="J4" t="s">
        <v>27</v>
      </c>
    </row>
    <row r="5" spans="1:12">
      <c r="E5" t="s">
        <v>3901</v>
      </c>
    </row>
    <row r="6" spans="1:12">
      <c r="E6" t="s">
        <v>714</v>
      </c>
    </row>
    <row r="7" spans="1:12">
      <c r="A7" t="s">
        <v>3902</v>
      </c>
      <c r="B7" t="s">
        <v>433</v>
      </c>
      <c r="C7" t="s">
        <v>267</v>
      </c>
      <c r="D7" t="s">
        <v>3903</v>
      </c>
      <c r="E7" t="s">
        <v>3904</v>
      </c>
      <c r="G7" t="s">
        <v>26</v>
      </c>
      <c r="H7" t="s">
        <v>3905</v>
      </c>
      <c r="J7" t="s">
        <v>42</v>
      </c>
    </row>
    <row r="8" spans="1:12">
      <c r="E8" t="s">
        <v>3906</v>
      </c>
    </row>
    <row r="9" spans="1:12">
      <c r="A9" t="s">
        <v>3907</v>
      </c>
      <c r="B9" t="s">
        <v>433</v>
      </c>
      <c r="C9" t="s">
        <v>267</v>
      </c>
      <c r="D9" t="s">
        <v>3908</v>
      </c>
      <c r="E9" t="s">
        <v>3909</v>
      </c>
      <c r="G9" t="s">
        <v>26</v>
      </c>
      <c r="H9" t="s">
        <v>3910</v>
      </c>
      <c r="J9" t="s">
        <v>464</v>
      </c>
    </row>
    <row r="10" spans="1:12">
      <c r="E10" t="s">
        <v>3911</v>
      </c>
    </row>
    <row r="11" spans="1:12">
      <c r="A11" t="s">
        <v>3912</v>
      </c>
      <c r="B11" t="s">
        <v>433</v>
      </c>
      <c r="C11" t="s">
        <v>267</v>
      </c>
      <c r="D11" t="s">
        <v>3913</v>
      </c>
      <c r="E11" t="s">
        <v>3455</v>
      </c>
      <c r="G11" t="s">
        <v>26</v>
      </c>
      <c r="H11" t="s">
        <v>3914</v>
      </c>
      <c r="J11" t="s">
        <v>27</v>
      </c>
    </row>
    <row r="12" spans="1:12">
      <c r="E12" t="s">
        <v>3915</v>
      </c>
    </row>
    <row r="13" spans="1:12">
      <c r="A13" t="s">
        <v>3916</v>
      </c>
      <c r="B13" t="s">
        <v>433</v>
      </c>
      <c r="C13" t="s">
        <v>267</v>
      </c>
      <c r="D13" t="s">
        <v>3454</v>
      </c>
      <c r="E13" t="s">
        <v>3455</v>
      </c>
      <c r="G13" t="s">
        <v>26</v>
      </c>
      <c r="H13" t="s">
        <v>3917</v>
      </c>
      <c r="J13" t="s">
        <v>42</v>
      </c>
    </row>
    <row r="14" spans="1:12">
      <c r="E14" t="s">
        <v>3457</v>
      </c>
    </row>
    <row r="15" spans="1:12">
      <c r="A15" t="s">
        <v>3918</v>
      </c>
      <c r="B15" t="s">
        <v>433</v>
      </c>
      <c r="C15" t="s">
        <v>267</v>
      </c>
      <c r="D15" t="s">
        <v>3919</v>
      </c>
      <c r="E15" t="s">
        <v>3920</v>
      </c>
      <c r="G15" t="s">
        <v>26</v>
      </c>
      <c r="H15" t="s">
        <v>3461</v>
      </c>
      <c r="J15" t="s">
        <v>464</v>
      </c>
    </row>
    <row r="16" spans="1:12">
      <c r="E16" t="s">
        <v>1422</v>
      </c>
    </row>
    <row r="17" spans="1:10">
      <c r="E17" t="s">
        <v>1423</v>
      </c>
    </row>
    <row r="18" spans="1:10">
      <c r="A18" t="s">
        <v>3921</v>
      </c>
      <c r="B18" t="s">
        <v>433</v>
      </c>
      <c r="C18" t="s">
        <v>267</v>
      </c>
      <c r="D18" t="s">
        <v>3922</v>
      </c>
      <c r="E18" t="s">
        <v>3898</v>
      </c>
      <c r="F18" t="s">
        <v>3923</v>
      </c>
      <c r="G18" t="s">
        <v>26</v>
      </c>
      <c r="H18" t="s">
        <v>3924</v>
      </c>
      <c r="J18" t="s">
        <v>42</v>
      </c>
    </row>
    <row r="19" spans="1:10">
      <c r="E19" t="s">
        <v>3925</v>
      </c>
    </row>
    <row r="20" spans="1:10">
      <c r="E20" t="s">
        <v>3926</v>
      </c>
    </row>
    <row r="21" spans="1:10">
      <c r="A21" t="s">
        <v>3927</v>
      </c>
      <c r="B21" t="s">
        <v>433</v>
      </c>
      <c r="C21" t="s">
        <v>267</v>
      </c>
      <c r="D21" t="s">
        <v>3463</v>
      </c>
      <c r="E21" t="s">
        <v>3898</v>
      </c>
      <c r="G21" t="s">
        <v>521</v>
      </c>
      <c r="H21" t="s">
        <v>3464</v>
      </c>
      <c r="J21" t="s">
        <v>27</v>
      </c>
    </row>
    <row r="22" spans="1:10">
      <c r="E22" t="s">
        <v>3113</v>
      </c>
    </row>
    <row r="23" spans="1:10">
      <c r="E23" t="s">
        <v>2982</v>
      </c>
    </row>
    <row r="24" spans="1:10">
      <c r="E24" t="s">
        <v>3465</v>
      </c>
    </row>
    <row r="25" spans="1:10">
      <c r="A25" t="s">
        <v>3928</v>
      </c>
      <c r="B25" t="s">
        <v>433</v>
      </c>
      <c r="C25" t="s">
        <v>267</v>
      </c>
      <c r="D25" t="s">
        <v>3929</v>
      </c>
      <c r="E25" t="s">
        <v>3930</v>
      </c>
      <c r="G25" t="s">
        <v>26</v>
      </c>
      <c r="H25" t="s">
        <v>3931</v>
      </c>
      <c r="J25" t="s">
        <v>464</v>
      </c>
    </row>
    <row r="26" spans="1:10">
      <c r="E26" t="s">
        <v>3932</v>
      </c>
    </row>
    <row r="27" spans="1:10">
      <c r="A27" t="s">
        <v>3933</v>
      </c>
      <c r="B27" t="s">
        <v>433</v>
      </c>
      <c r="C27" t="s">
        <v>267</v>
      </c>
      <c r="D27" t="s">
        <v>3934</v>
      </c>
      <c r="E27" t="s">
        <v>3935</v>
      </c>
      <c r="G27" t="s">
        <v>26</v>
      </c>
      <c r="H27" t="s">
        <v>3498</v>
      </c>
      <c r="J27" t="s">
        <v>42</v>
      </c>
    </row>
    <row r="28" spans="1:10">
      <c r="E28" t="s">
        <v>3129</v>
      </c>
    </row>
    <row r="29" spans="1:10">
      <c r="A29" t="s">
        <v>3936</v>
      </c>
      <c r="B29" t="s">
        <v>433</v>
      </c>
      <c r="C29" t="s">
        <v>267</v>
      </c>
      <c r="D29" t="s">
        <v>3937</v>
      </c>
      <c r="E29" t="s">
        <v>3501</v>
      </c>
      <c r="G29" t="s">
        <v>26</v>
      </c>
      <c r="H29" t="s">
        <v>3938</v>
      </c>
      <c r="J29" t="s">
        <v>42</v>
      </c>
    </row>
    <row r="30" spans="1:10">
      <c r="E30" t="s">
        <v>3939</v>
      </c>
    </row>
    <row r="31" spans="1:10">
      <c r="A31" t="s">
        <v>3940</v>
      </c>
      <c r="B31" t="s">
        <v>433</v>
      </c>
      <c r="C31" t="s">
        <v>267</v>
      </c>
      <c r="D31" t="s">
        <v>3941</v>
      </c>
      <c r="E31" t="s">
        <v>3942</v>
      </c>
      <c r="G31" t="s">
        <v>521</v>
      </c>
      <c r="H31" t="s">
        <v>3943</v>
      </c>
      <c r="J31" t="s">
        <v>27</v>
      </c>
    </row>
    <row r="32" spans="1:10">
      <c r="E32" t="s">
        <v>3465</v>
      </c>
    </row>
    <row r="33" spans="1:10">
      <c r="A33" t="s">
        <v>3944</v>
      </c>
      <c r="B33" t="s">
        <v>433</v>
      </c>
      <c r="C33" t="s">
        <v>267</v>
      </c>
      <c r="D33" t="s">
        <v>3945</v>
      </c>
      <c r="E33" t="s">
        <v>3946</v>
      </c>
      <c r="G33" t="s">
        <v>26</v>
      </c>
      <c r="H33" t="s">
        <v>3947</v>
      </c>
      <c r="J33" t="s">
        <v>42</v>
      </c>
    </row>
    <row r="34" spans="1:10">
      <c r="E34" t="s">
        <v>3948</v>
      </c>
    </row>
    <row r="35" spans="1:10">
      <c r="A35" t="s">
        <v>3949</v>
      </c>
      <c r="B35" t="s">
        <v>433</v>
      </c>
      <c r="C35" t="s">
        <v>267</v>
      </c>
      <c r="D35" t="s">
        <v>3950</v>
      </c>
      <c r="E35" t="s">
        <v>3951</v>
      </c>
      <c r="G35" t="s">
        <v>26</v>
      </c>
      <c r="H35" t="s">
        <v>3952</v>
      </c>
      <c r="J35" t="s">
        <v>42</v>
      </c>
    </row>
    <row r="36" spans="1:10">
      <c r="E36" t="s">
        <v>3953</v>
      </c>
    </row>
    <row r="37" spans="1:10">
      <c r="E37" t="s">
        <v>3954</v>
      </c>
    </row>
    <row r="38" spans="1:10">
      <c r="A38" t="s">
        <v>3955</v>
      </c>
      <c r="B38" t="s">
        <v>433</v>
      </c>
      <c r="C38" t="s">
        <v>267</v>
      </c>
      <c r="D38" t="s">
        <v>3956</v>
      </c>
      <c r="E38" t="s">
        <v>3957</v>
      </c>
      <c r="G38" t="s">
        <v>26</v>
      </c>
      <c r="H38" t="s">
        <v>3958</v>
      </c>
      <c r="J38" t="s">
        <v>42</v>
      </c>
    </row>
    <row r="39" spans="1:10">
      <c r="E39" t="s">
        <v>3959</v>
      </c>
    </row>
    <row r="40" spans="1:10">
      <c r="A40" t="s">
        <v>3960</v>
      </c>
      <c r="B40" t="s">
        <v>433</v>
      </c>
      <c r="C40" t="s">
        <v>267</v>
      </c>
      <c r="D40" t="s">
        <v>3961</v>
      </c>
      <c r="E40" t="s">
        <v>3962</v>
      </c>
      <c r="F40" t="s">
        <v>3963</v>
      </c>
      <c r="G40" t="s">
        <v>26</v>
      </c>
      <c r="H40" t="s">
        <v>3964</v>
      </c>
      <c r="J40" t="s">
        <v>27</v>
      </c>
    </row>
    <row r="41" spans="1:10">
      <c r="E41" t="s">
        <v>3965</v>
      </c>
    </row>
    <row r="42" spans="1:10">
      <c r="A42" t="s">
        <v>3966</v>
      </c>
      <c r="B42" t="s">
        <v>433</v>
      </c>
      <c r="C42" t="s">
        <v>267</v>
      </c>
      <c r="D42" t="s">
        <v>3967</v>
      </c>
      <c r="E42" t="s">
        <v>3968</v>
      </c>
      <c r="G42" t="s">
        <v>521</v>
      </c>
      <c r="H42" t="s">
        <v>3969</v>
      </c>
      <c r="J42" t="s">
        <v>27</v>
      </c>
    </row>
    <row r="43" spans="1:10">
      <c r="E43" t="s">
        <v>3965</v>
      </c>
    </row>
    <row r="44" spans="1:10">
      <c r="A44" t="s">
        <v>3970</v>
      </c>
      <c r="B44" t="s">
        <v>433</v>
      </c>
      <c r="C44" t="s">
        <v>267</v>
      </c>
      <c r="D44" t="s">
        <v>3971</v>
      </c>
      <c r="E44" t="s">
        <v>3972</v>
      </c>
      <c r="G44" t="s">
        <v>26</v>
      </c>
      <c r="H44" t="s">
        <v>3973</v>
      </c>
      <c r="J44" t="s">
        <v>42</v>
      </c>
    </row>
    <row r="45" spans="1:10">
      <c r="E45" t="s">
        <v>3974</v>
      </c>
    </row>
    <row r="46" spans="1:10">
      <c r="E46" t="s">
        <v>3975</v>
      </c>
    </row>
    <row r="47" spans="1:10">
      <c r="A47" t="s">
        <v>3976</v>
      </c>
      <c r="B47" t="s">
        <v>433</v>
      </c>
      <c r="C47" t="s">
        <v>267</v>
      </c>
      <c r="D47" t="s">
        <v>2607</v>
      </c>
      <c r="E47" t="s">
        <v>3563</v>
      </c>
      <c r="G47" t="s">
        <v>26</v>
      </c>
      <c r="H47" t="s">
        <v>3977</v>
      </c>
      <c r="J47" t="s">
        <v>42</v>
      </c>
    </row>
    <row r="48" spans="1:10">
      <c r="E48" t="s">
        <v>2611</v>
      </c>
    </row>
    <row r="49" spans="1:10">
      <c r="A49" t="s">
        <v>3978</v>
      </c>
      <c r="B49" t="s">
        <v>433</v>
      </c>
      <c r="C49" t="s">
        <v>267</v>
      </c>
      <c r="D49" t="s">
        <v>3979</v>
      </c>
      <c r="E49" t="s">
        <v>3980</v>
      </c>
      <c r="G49" t="s">
        <v>26</v>
      </c>
      <c r="H49" t="s">
        <v>3981</v>
      </c>
      <c r="J49" t="s">
        <v>27</v>
      </c>
    </row>
    <row r="50" spans="1:10">
      <c r="E50" t="s">
        <v>3465</v>
      </c>
    </row>
    <row r="51" spans="1:10">
      <c r="E51" t="s">
        <v>3982</v>
      </c>
    </row>
    <row r="52" spans="1:10">
      <c r="A52" t="s">
        <v>3983</v>
      </c>
      <c r="B52" t="s">
        <v>433</v>
      </c>
      <c r="C52" t="s">
        <v>267</v>
      </c>
      <c r="D52" t="s">
        <v>1540</v>
      </c>
      <c r="E52" t="s">
        <v>3984</v>
      </c>
      <c r="G52" t="s">
        <v>26</v>
      </c>
      <c r="H52" t="s">
        <v>3985</v>
      </c>
      <c r="J52" t="s">
        <v>42</v>
      </c>
    </row>
    <row r="53" spans="1:10">
      <c r="E53" t="s">
        <v>1543</v>
      </c>
    </row>
    <row r="54" spans="1:10">
      <c r="A54" t="s">
        <v>3986</v>
      </c>
      <c r="B54" t="s">
        <v>433</v>
      </c>
      <c r="C54" t="s">
        <v>267</v>
      </c>
      <c r="D54" t="s">
        <v>3987</v>
      </c>
      <c r="E54" t="s">
        <v>3898</v>
      </c>
      <c r="F54" t="s">
        <v>1546</v>
      </c>
      <c r="G54" t="s">
        <v>75</v>
      </c>
      <c r="H54" t="s">
        <v>1547</v>
      </c>
      <c r="J54" t="s">
        <v>27</v>
      </c>
    </row>
    <row r="55" spans="1:10">
      <c r="E55" t="s">
        <v>3988</v>
      </c>
    </row>
    <row r="56" spans="1:10">
      <c r="E56" t="s">
        <v>1549</v>
      </c>
    </row>
  </sheetData>
  <pageMargins left="0.75" right="0.75" top="1" bottom="1" header="0.511811023622047" footer="0.511811023622047"/>
  <headerFooter/>
  <ignoredErrors>
    <ignoredError sqref="A1:L56" numberStoredAsText="1"/>
  </ignoredError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0"/>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3989</v>
      </c>
      <c r="B2" t="s">
        <v>433</v>
      </c>
      <c r="C2" t="s">
        <v>272</v>
      </c>
      <c r="D2" t="s">
        <v>3990</v>
      </c>
      <c r="E2" t="s">
        <v>3991</v>
      </c>
      <c r="G2" t="s">
        <v>26</v>
      </c>
      <c r="H2" t="s">
        <v>3992</v>
      </c>
      <c r="J2" t="s">
        <v>27</v>
      </c>
    </row>
    <row r="3" spans="1:12">
      <c r="E3" t="s">
        <v>3993</v>
      </c>
    </row>
    <row r="4" spans="1:12">
      <c r="A4" t="s">
        <v>3994</v>
      </c>
      <c r="B4" t="s">
        <v>433</v>
      </c>
      <c r="C4" t="s">
        <v>272</v>
      </c>
      <c r="D4" t="s">
        <v>3742</v>
      </c>
      <c r="E4" t="s">
        <v>3995</v>
      </c>
      <c r="G4" t="s">
        <v>26</v>
      </c>
      <c r="H4" t="s">
        <v>3996</v>
      </c>
      <c r="J4" t="s">
        <v>27</v>
      </c>
    </row>
    <row r="5" spans="1:12">
      <c r="E5" t="s">
        <v>3997</v>
      </c>
    </row>
    <row r="6" spans="1:12">
      <c r="A6" t="s">
        <v>3998</v>
      </c>
      <c r="B6" t="s">
        <v>433</v>
      </c>
      <c r="C6" t="s">
        <v>272</v>
      </c>
      <c r="D6" t="s">
        <v>3999</v>
      </c>
      <c r="E6" t="s">
        <v>4000</v>
      </c>
      <c r="F6" t="s">
        <v>4001</v>
      </c>
      <c r="G6" t="s">
        <v>26</v>
      </c>
      <c r="H6" t="s">
        <v>4002</v>
      </c>
      <c r="J6" t="s">
        <v>27</v>
      </c>
    </row>
    <row r="7" spans="1:12">
      <c r="E7" t="s">
        <v>4003</v>
      </c>
    </row>
    <row r="8" spans="1:12">
      <c r="E8" t="s">
        <v>1262</v>
      </c>
    </row>
    <row r="9" spans="1:12">
      <c r="A9" t="s">
        <v>4004</v>
      </c>
      <c r="B9" t="s">
        <v>433</v>
      </c>
      <c r="C9" t="s">
        <v>272</v>
      </c>
      <c r="D9" t="s">
        <v>4005</v>
      </c>
      <c r="E9" t="s">
        <v>4006</v>
      </c>
      <c r="F9" t="s">
        <v>4007</v>
      </c>
      <c r="G9" t="s">
        <v>26</v>
      </c>
      <c r="H9" t="s">
        <v>4008</v>
      </c>
      <c r="J9" t="s">
        <v>42</v>
      </c>
    </row>
    <row r="10" spans="1:12">
      <c r="E10" t="s">
        <v>4009</v>
      </c>
    </row>
    <row r="11" spans="1:12">
      <c r="E11" t="s">
        <v>4010</v>
      </c>
    </row>
    <row r="12" spans="1:12">
      <c r="A12" t="s">
        <v>4011</v>
      </c>
      <c r="B12" t="s">
        <v>433</v>
      </c>
      <c r="C12" t="s">
        <v>272</v>
      </c>
      <c r="D12" t="s">
        <v>1270</v>
      </c>
      <c r="E12" t="s">
        <v>3995</v>
      </c>
      <c r="F12" t="s">
        <v>4012</v>
      </c>
      <c r="G12" t="s">
        <v>521</v>
      </c>
      <c r="H12" t="s">
        <v>4013</v>
      </c>
      <c r="J12" t="s">
        <v>42</v>
      </c>
    </row>
    <row r="13" spans="1:12">
      <c r="E13" t="s">
        <v>4014</v>
      </c>
    </row>
    <row r="14" spans="1:12">
      <c r="E14" t="s">
        <v>1262</v>
      </c>
    </row>
    <row r="15" spans="1:12">
      <c r="A15" t="s">
        <v>4015</v>
      </c>
      <c r="B15" t="s">
        <v>433</v>
      </c>
      <c r="C15" t="s">
        <v>272</v>
      </c>
      <c r="D15" t="s">
        <v>1275</v>
      </c>
      <c r="E15" t="s">
        <v>3995</v>
      </c>
      <c r="F15" t="s">
        <v>1276</v>
      </c>
      <c r="G15" t="s">
        <v>75</v>
      </c>
      <c r="H15" t="s">
        <v>1277</v>
      </c>
      <c r="J15" t="s">
        <v>27</v>
      </c>
    </row>
    <row r="16" spans="1:12">
      <c r="E16" t="s">
        <v>1278</v>
      </c>
    </row>
    <row r="17" spans="1:10">
      <c r="E17" t="s">
        <v>1279</v>
      </c>
    </row>
    <row r="18" spans="1:10">
      <c r="A18" t="s">
        <v>4016</v>
      </c>
      <c r="B18" t="s">
        <v>433</v>
      </c>
      <c r="C18" t="s">
        <v>272</v>
      </c>
      <c r="D18" t="s">
        <v>4017</v>
      </c>
      <c r="E18" t="s">
        <v>4018</v>
      </c>
      <c r="F18" t="s">
        <v>4019</v>
      </c>
      <c r="G18" t="s">
        <v>26</v>
      </c>
      <c r="H18" t="s">
        <v>4020</v>
      </c>
      <c r="J18" t="s">
        <v>27</v>
      </c>
    </row>
    <row r="19" spans="1:10">
      <c r="E19" t="s">
        <v>4021</v>
      </c>
    </row>
    <row r="20" spans="1:10">
      <c r="E20" t="s">
        <v>1262</v>
      </c>
    </row>
    <row r="21" spans="1:10">
      <c r="A21" t="s">
        <v>4022</v>
      </c>
      <c r="B21" t="s">
        <v>433</v>
      </c>
      <c r="C21" t="s">
        <v>272</v>
      </c>
      <c r="D21" t="s">
        <v>4023</v>
      </c>
      <c r="E21" t="s">
        <v>4024</v>
      </c>
      <c r="F21" t="s">
        <v>4025</v>
      </c>
      <c r="G21" t="s">
        <v>26</v>
      </c>
      <c r="H21" t="s">
        <v>4026</v>
      </c>
      <c r="J21" t="s">
        <v>27</v>
      </c>
    </row>
    <row r="22" spans="1:10">
      <c r="E22" t="s">
        <v>4027</v>
      </c>
    </row>
    <row r="23" spans="1:10">
      <c r="E23" t="s">
        <v>1262</v>
      </c>
    </row>
    <row r="24" spans="1:10">
      <c r="A24" t="s">
        <v>4028</v>
      </c>
      <c r="B24" t="s">
        <v>433</v>
      </c>
      <c r="C24" t="s">
        <v>272</v>
      </c>
      <c r="D24" t="s">
        <v>4029</v>
      </c>
      <c r="E24" t="s">
        <v>4030</v>
      </c>
      <c r="G24" t="s">
        <v>26</v>
      </c>
      <c r="H24" t="s">
        <v>4031</v>
      </c>
      <c r="J24" t="s">
        <v>464</v>
      </c>
    </row>
    <row r="25" spans="1:10">
      <c r="E25" t="s">
        <v>4032</v>
      </c>
    </row>
    <row r="26" spans="1:10">
      <c r="A26" t="s">
        <v>4033</v>
      </c>
      <c r="B26" t="s">
        <v>433</v>
      </c>
      <c r="C26" t="s">
        <v>272</v>
      </c>
      <c r="D26" t="s">
        <v>1291</v>
      </c>
      <c r="E26" t="s">
        <v>4024</v>
      </c>
      <c r="G26" t="s">
        <v>26</v>
      </c>
      <c r="H26" t="s">
        <v>4034</v>
      </c>
      <c r="J26" t="s">
        <v>27</v>
      </c>
    </row>
    <row r="27" spans="1:10">
      <c r="E27" t="s">
        <v>4035</v>
      </c>
    </row>
    <row r="28" spans="1:10">
      <c r="A28" t="s">
        <v>4036</v>
      </c>
      <c r="B28" t="s">
        <v>433</v>
      </c>
      <c r="C28" t="s">
        <v>272</v>
      </c>
      <c r="D28" t="s">
        <v>4037</v>
      </c>
      <c r="E28" t="s">
        <v>4038</v>
      </c>
      <c r="G28" t="s">
        <v>26</v>
      </c>
      <c r="H28" t="s">
        <v>4039</v>
      </c>
      <c r="J28" t="s">
        <v>42</v>
      </c>
    </row>
    <row r="29" spans="1:10">
      <c r="E29" t="s">
        <v>4040</v>
      </c>
    </row>
    <row r="30" spans="1:10">
      <c r="A30" t="s">
        <v>4041</v>
      </c>
      <c r="B30" t="s">
        <v>433</v>
      </c>
      <c r="C30" t="s">
        <v>272</v>
      </c>
      <c r="D30" t="s">
        <v>4042</v>
      </c>
      <c r="E30" t="s">
        <v>4043</v>
      </c>
      <c r="G30" t="s">
        <v>26</v>
      </c>
      <c r="H30" t="s">
        <v>4044</v>
      </c>
      <c r="J30" t="s">
        <v>464</v>
      </c>
    </row>
    <row r="31" spans="1:10">
      <c r="E31" t="s">
        <v>4045</v>
      </c>
    </row>
    <row r="32" spans="1:10">
      <c r="A32" t="s">
        <v>4046</v>
      </c>
      <c r="B32" t="s">
        <v>433</v>
      </c>
      <c r="C32" t="s">
        <v>272</v>
      </c>
      <c r="D32" t="s">
        <v>4047</v>
      </c>
      <c r="E32" t="s">
        <v>4048</v>
      </c>
      <c r="G32" t="s">
        <v>26</v>
      </c>
      <c r="H32" t="s">
        <v>4049</v>
      </c>
      <c r="J32" t="s">
        <v>42</v>
      </c>
    </row>
    <row r="33" spans="1:10">
      <c r="E33" t="s">
        <v>4050</v>
      </c>
    </row>
    <row r="34" spans="1:10">
      <c r="A34" t="s">
        <v>4051</v>
      </c>
      <c r="B34" t="s">
        <v>433</v>
      </c>
      <c r="C34" t="s">
        <v>272</v>
      </c>
      <c r="D34" t="s">
        <v>4052</v>
      </c>
      <c r="E34" t="s">
        <v>4048</v>
      </c>
      <c r="G34" t="s">
        <v>26</v>
      </c>
      <c r="H34" t="s">
        <v>4053</v>
      </c>
      <c r="J34" t="s">
        <v>42</v>
      </c>
    </row>
    <row r="35" spans="1:10">
      <c r="E35" t="s">
        <v>4054</v>
      </c>
    </row>
    <row r="36" spans="1:10">
      <c r="A36" t="s">
        <v>4055</v>
      </c>
      <c r="B36" t="s">
        <v>433</v>
      </c>
      <c r="C36" t="s">
        <v>272</v>
      </c>
      <c r="D36" t="s">
        <v>4056</v>
      </c>
      <c r="E36" t="s">
        <v>4057</v>
      </c>
      <c r="G36" t="s">
        <v>26</v>
      </c>
      <c r="H36" t="s">
        <v>4058</v>
      </c>
      <c r="J36" t="s">
        <v>42</v>
      </c>
    </row>
    <row r="37" spans="1:10">
      <c r="E37" t="s">
        <v>4059</v>
      </c>
    </row>
    <row r="38" spans="1:10">
      <c r="E38" t="s">
        <v>4060</v>
      </c>
    </row>
    <row r="39" spans="1:10">
      <c r="A39" t="s">
        <v>4061</v>
      </c>
      <c r="B39" t="s">
        <v>433</v>
      </c>
      <c r="C39" t="s">
        <v>272</v>
      </c>
      <c r="D39" t="s">
        <v>4062</v>
      </c>
      <c r="E39" t="s">
        <v>4063</v>
      </c>
      <c r="G39" t="s">
        <v>26</v>
      </c>
      <c r="H39" t="s">
        <v>4064</v>
      </c>
      <c r="J39" t="s">
        <v>464</v>
      </c>
    </row>
    <row r="40" spans="1:10">
      <c r="E40" t="s">
        <v>4065</v>
      </c>
    </row>
    <row r="41" spans="1:10">
      <c r="A41" t="s">
        <v>4066</v>
      </c>
      <c r="B41" t="s">
        <v>433</v>
      </c>
      <c r="C41" t="s">
        <v>272</v>
      </c>
      <c r="D41" t="s">
        <v>4067</v>
      </c>
      <c r="E41" t="s">
        <v>3995</v>
      </c>
      <c r="G41" t="s">
        <v>26</v>
      </c>
      <c r="H41" t="s">
        <v>4068</v>
      </c>
      <c r="J41" t="s">
        <v>27</v>
      </c>
    </row>
    <row r="42" spans="1:10">
      <c r="E42" t="s">
        <v>4069</v>
      </c>
    </row>
    <row r="43" spans="1:10">
      <c r="A43" t="s">
        <v>4070</v>
      </c>
      <c r="B43" t="s">
        <v>433</v>
      </c>
      <c r="C43" t="s">
        <v>272</v>
      </c>
      <c r="D43" t="s">
        <v>4071</v>
      </c>
      <c r="E43" t="s">
        <v>4072</v>
      </c>
      <c r="G43" t="s">
        <v>26</v>
      </c>
      <c r="H43" t="s">
        <v>4073</v>
      </c>
      <c r="J43" t="s">
        <v>42</v>
      </c>
    </row>
    <row r="44" spans="1:10">
      <c r="E44" t="s">
        <v>4074</v>
      </c>
    </row>
    <row r="45" spans="1:10">
      <c r="A45" t="s">
        <v>4075</v>
      </c>
      <c r="B45" t="s">
        <v>433</v>
      </c>
      <c r="C45" t="s">
        <v>272</v>
      </c>
      <c r="D45" t="s">
        <v>4076</v>
      </c>
      <c r="E45" t="s">
        <v>3705</v>
      </c>
      <c r="G45" t="s">
        <v>26</v>
      </c>
      <c r="H45" t="s">
        <v>4077</v>
      </c>
      <c r="J45" t="s">
        <v>42</v>
      </c>
    </row>
    <row r="46" spans="1:10">
      <c r="E46" t="s">
        <v>4078</v>
      </c>
    </row>
    <row r="47" spans="1:10">
      <c r="A47" t="s">
        <v>4079</v>
      </c>
      <c r="B47" t="s">
        <v>433</v>
      </c>
      <c r="C47" t="s">
        <v>272</v>
      </c>
      <c r="D47" t="s">
        <v>4080</v>
      </c>
      <c r="E47" t="s">
        <v>3995</v>
      </c>
      <c r="G47" t="s">
        <v>26</v>
      </c>
      <c r="H47" t="s">
        <v>4081</v>
      </c>
      <c r="J47" t="s">
        <v>464</v>
      </c>
    </row>
    <row r="48" spans="1:10">
      <c r="E48" t="s">
        <v>4082</v>
      </c>
    </row>
    <row r="49" spans="1:10">
      <c r="A49" t="s">
        <v>4083</v>
      </c>
      <c r="B49" t="s">
        <v>433</v>
      </c>
      <c r="C49" t="s">
        <v>272</v>
      </c>
      <c r="D49" t="s">
        <v>4084</v>
      </c>
      <c r="E49" t="s">
        <v>4085</v>
      </c>
      <c r="G49" t="s">
        <v>521</v>
      </c>
      <c r="H49" t="s">
        <v>4086</v>
      </c>
      <c r="J49" t="s">
        <v>27</v>
      </c>
    </row>
    <row r="50" spans="1:10">
      <c r="E50" t="s">
        <v>4087</v>
      </c>
    </row>
  </sheetData>
  <pageMargins left="0.75" right="0.75" top="1" bottom="1" header="0.511811023622047" footer="0.511811023622047"/>
  <headerFooter/>
  <ignoredErrors>
    <ignoredError sqref="A1:L50" numberStoredAsText="1"/>
  </ignoredError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73"/>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4088</v>
      </c>
      <c r="B2" t="s">
        <v>433</v>
      </c>
      <c r="C2" t="s">
        <v>276</v>
      </c>
      <c r="D2" t="s">
        <v>4089</v>
      </c>
      <c r="E2" t="s">
        <v>4090</v>
      </c>
      <c r="G2" t="s">
        <v>26</v>
      </c>
      <c r="H2" t="s">
        <v>4091</v>
      </c>
      <c r="J2" t="s">
        <v>27</v>
      </c>
    </row>
    <row r="3" spans="1:12">
      <c r="E3" t="s">
        <v>1395</v>
      </c>
    </row>
    <row r="4" spans="1:12">
      <c r="A4" t="s">
        <v>4092</v>
      </c>
      <c r="B4" t="s">
        <v>433</v>
      </c>
      <c r="C4" t="s">
        <v>276</v>
      </c>
      <c r="D4" t="s">
        <v>4093</v>
      </c>
      <c r="E4" t="s">
        <v>4094</v>
      </c>
      <c r="F4" t="s">
        <v>4095</v>
      </c>
      <c r="G4" t="s">
        <v>26</v>
      </c>
      <c r="H4" t="s">
        <v>4096</v>
      </c>
      <c r="J4" t="s">
        <v>27</v>
      </c>
    </row>
    <row r="5" spans="1:12">
      <c r="E5" t="s">
        <v>4097</v>
      </c>
    </row>
    <row r="6" spans="1:12">
      <c r="E6" t="s">
        <v>714</v>
      </c>
    </row>
    <row r="7" spans="1:12">
      <c r="A7" t="s">
        <v>4098</v>
      </c>
      <c r="B7" t="s">
        <v>433</v>
      </c>
      <c r="C7" t="s">
        <v>276</v>
      </c>
      <c r="D7" t="s">
        <v>4099</v>
      </c>
      <c r="E7" t="s">
        <v>4100</v>
      </c>
      <c r="G7" t="s">
        <v>26</v>
      </c>
      <c r="H7" t="s">
        <v>4101</v>
      </c>
      <c r="J7" t="s">
        <v>42</v>
      </c>
    </row>
    <row r="8" spans="1:12">
      <c r="E8" t="s">
        <v>4102</v>
      </c>
    </row>
    <row r="9" spans="1:12">
      <c r="A9" t="s">
        <v>4103</v>
      </c>
      <c r="B9" t="s">
        <v>433</v>
      </c>
      <c r="C9" t="s">
        <v>276</v>
      </c>
      <c r="D9" t="s">
        <v>4104</v>
      </c>
      <c r="E9" t="s">
        <v>4094</v>
      </c>
      <c r="G9" t="s">
        <v>26</v>
      </c>
      <c r="H9" t="s">
        <v>4105</v>
      </c>
      <c r="J9" t="s">
        <v>42</v>
      </c>
    </row>
    <row r="10" spans="1:12">
      <c r="E10" t="s">
        <v>4106</v>
      </c>
    </row>
    <row r="11" spans="1:12">
      <c r="A11" t="s">
        <v>4107</v>
      </c>
      <c r="B11" t="s">
        <v>433</v>
      </c>
      <c r="C11" t="s">
        <v>276</v>
      </c>
      <c r="D11" t="s">
        <v>4108</v>
      </c>
      <c r="E11" t="s">
        <v>4094</v>
      </c>
      <c r="G11" t="s">
        <v>26</v>
      </c>
      <c r="H11" t="s">
        <v>4109</v>
      </c>
      <c r="J11" t="s">
        <v>42</v>
      </c>
    </row>
    <row r="12" spans="1:12">
      <c r="E12" t="s">
        <v>4110</v>
      </c>
    </row>
    <row r="13" spans="1:12">
      <c r="E13" t="s">
        <v>4111</v>
      </c>
    </row>
    <row r="14" spans="1:12">
      <c r="A14" t="s">
        <v>4112</v>
      </c>
      <c r="B14" t="s">
        <v>433</v>
      </c>
      <c r="C14" t="s">
        <v>276</v>
      </c>
      <c r="D14" t="s">
        <v>4113</v>
      </c>
      <c r="E14" t="s">
        <v>4094</v>
      </c>
      <c r="G14" t="s">
        <v>26</v>
      </c>
      <c r="H14" t="s">
        <v>4114</v>
      </c>
      <c r="J14" t="s">
        <v>464</v>
      </c>
    </row>
    <row r="15" spans="1:12">
      <c r="E15" t="s">
        <v>4115</v>
      </c>
    </row>
    <row r="16" spans="1:12">
      <c r="A16" t="s">
        <v>4116</v>
      </c>
      <c r="B16" t="s">
        <v>433</v>
      </c>
      <c r="C16" t="s">
        <v>276</v>
      </c>
      <c r="D16" t="s">
        <v>4117</v>
      </c>
      <c r="E16" t="s">
        <v>4118</v>
      </c>
      <c r="G16" t="s">
        <v>26</v>
      </c>
      <c r="H16" t="s">
        <v>4119</v>
      </c>
      <c r="J16" t="s">
        <v>27</v>
      </c>
    </row>
    <row r="17" spans="1:10">
      <c r="E17" t="s">
        <v>1406</v>
      </c>
    </row>
    <row r="18" spans="1:10">
      <c r="A18" t="s">
        <v>4120</v>
      </c>
      <c r="B18" t="s">
        <v>433</v>
      </c>
      <c r="C18" t="s">
        <v>276</v>
      </c>
      <c r="D18" t="s">
        <v>4121</v>
      </c>
      <c r="E18" t="s">
        <v>4118</v>
      </c>
      <c r="G18" t="s">
        <v>26</v>
      </c>
      <c r="H18" t="s">
        <v>4122</v>
      </c>
      <c r="J18" t="s">
        <v>42</v>
      </c>
    </row>
    <row r="19" spans="1:10">
      <c r="E19" t="s">
        <v>4123</v>
      </c>
    </row>
    <row r="20" spans="1:10">
      <c r="A20" t="s">
        <v>4124</v>
      </c>
      <c r="B20" t="s">
        <v>433</v>
      </c>
      <c r="C20" t="s">
        <v>276</v>
      </c>
      <c r="D20" t="s">
        <v>4125</v>
      </c>
      <c r="E20" t="s">
        <v>4094</v>
      </c>
      <c r="G20" t="s">
        <v>521</v>
      </c>
      <c r="H20" t="s">
        <v>4126</v>
      </c>
      <c r="J20" t="s">
        <v>27</v>
      </c>
    </row>
    <row r="21" spans="1:10">
      <c r="E21" t="s">
        <v>2578</v>
      </c>
    </row>
    <row r="22" spans="1:10">
      <c r="E22" t="s">
        <v>2982</v>
      </c>
    </row>
    <row r="23" spans="1:10">
      <c r="E23" t="s">
        <v>4127</v>
      </c>
    </row>
    <row r="24" spans="1:10">
      <c r="A24" t="s">
        <v>4128</v>
      </c>
      <c r="B24" t="s">
        <v>433</v>
      </c>
      <c r="C24" t="s">
        <v>276</v>
      </c>
      <c r="D24" t="s">
        <v>4129</v>
      </c>
      <c r="E24" t="s">
        <v>4094</v>
      </c>
      <c r="F24" t="s">
        <v>4130</v>
      </c>
      <c r="G24" t="s">
        <v>521</v>
      </c>
      <c r="H24" t="s">
        <v>4131</v>
      </c>
      <c r="J24" t="s">
        <v>42</v>
      </c>
    </row>
    <row r="25" spans="1:10">
      <c r="E25" t="s">
        <v>4132</v>
      </c>
    </row>
    <row r="26" spans="1:10">
      <c r="E26" t="s">
        <v>4127</v>
      </c>
    </row>
    <row r="27" spans="1:10">
      <c r="A27" t="s">
        <v>4133</v>
      </c>
      <c r="B27" t="s">
        <v>433</v>
      </c>
      <c r="C27" t="s">
        <v>276</v>
      </c>
      <c r="D27" t="s">
        <v>4134</v>
      </c>
      <c r="E27" t="s">
        <v>4135</v>
      </c>
      <c r="G27" t="s">
        <v>26</v>
      </c>
      <c r="H27" t="s">
        <v>4136</v>
      </c>
      <c r="J27" t="s">
        <v>464</v>
      </c>
    </row>
    <row r="28" spans="1:10">
      <c r="E28" t="s">
        <v>4137</v>
      </c>
    </row>
    <row r="29" spans="1:10">
      <c r="E29" t="s">
        <v>4138</v>
      </c>
    </row>
    <row r="30" spans="1:10">
      <c r="A30" t="s">
        <v>4139</v>
      </c>
      <c r="B30" t="s">
        <v>433</v>
      </c>
      <c r="C30" t="s">
        <v>276</v>
      </c>
      <c r="D30" t="s">
        <v>4140</v>
      </c>
      <c r="E30" t="s">
        <v>4141</v>
      </c>
      <c r="G30" t="s">
        <v>26</v>
      </c>
      <c r="H30" t="s">
        <v>4142</v>
      </c>
      <c r="J30" t="s">
        <v>42</v>
      </c>
    </row>
    <row r="31" spans="1:10">
      <c r="E31" t="s">
        <v>4143</v>
      </c>
    </row>
    <row r="32" spans="1:10">
      <c r="E32" t="s">
        <v>4144</v>
      </c>
    </row>
    <row r="33" spans="1:10">
      <c r="A33" t="s">
        <v>4145</v>
      </c>
      <c r="B33" t="s">
        <v>433</v>
      </c>
      <c r="C33" t="s">
        <v>276</v>
      </c>
      <c r="D33" t="s">
        <v>4146</v>
      </c>
      <c r="E33" t="s">
        <v>4141</v>
      </c>
      <c r="F33" t="s">
        <v>4147</v>
      </c>
      <c r="G33" t="s">
        <v>521</v>
      </c>
      <c r="H33" t="s">
        <v>4148</v>
      </c>
      <c r="J33" t="s">
        <v>42</v>
      </c>
    </row>
    <row r="34" spans="1:10">
      <c r="E34" t="s">
        <v>4149</v>
      </c>
    </row>
    <row r="35" spans="1:10">
      <c r="E35" t="s">
        <v>1462</v>
      </c>
    </row>
    <row r="36" spans="1:10">
      <c r="A36" t="s">
        <v>4150</v>
      </c>
      <c r="B36" t="s">
        <v>433</v>
      </c>
      <c r="C36" t="s">
        <v>276</v>
      </c>
      <c r="D36" t="s">
        <v>4151</v>
      </c>
      <c r="E36" t="s">
        <v>4141</v>
      </c>
      <c r="G36" t="s">
        <v>26</v>
      </c>
      <c r="H36" t="s">
        <v>4152</v>
      </c>
      <c r="J36" t="s">
        <v>464</v>
      </c>
    </row>
    <row r="37" spans="1:10">
      <c r="E37" t="s">
        <v>4153</v>
      </c>
    </row>
    <row r="38" spans="1:10">
      <c r="E38" t="s">
        <v>4154</v>
      </c>
    </row>
    <row r="39" spans="1:10">
      <c r="E39" t="s">
        <v>4155</v>
      </c>
    </row>
    <row r="40" spans="1:10">
      <c r="A40" t="s">
        <v>4156</v>
      </c>
      <c r="B40" t="s">
        <v>433</v>
      </c>
      <c r="C40" t="s">
        <v>276</v>
      </c>
      <c r="D40" t="s">
        <v>4157</v>
      </c>
      <c r="E40" t="s">
        <v>4158</v>
      </c>
      <c r="G40" t="s">
        <v>26</v>
      </c>
      <c r="H40" t="s">
        <v>4159</v>
      </c>
      <c r="J40" t="s">
        <v>42</v>
      </c>
    </row>
    <row r="41" spans="1:10">
      <c r="E41" t="s">
        <v>4160</v>
      </c>
    </row>
    <row r="42" spans="1:10">
      <c r="A42" t="s">
        <v>4161</v>
      </c>
      <c r="B42" t="s">
        <v>433</v>
      </c>
      <c r="C42" t="s">
        <v>276</v>
      </c>
      <c r="D42" t="s">
        <v>4162</v>
      </c>
      <c r="E42" t="s">
        <v>4163</v>
      </c>
      <c r="G42" t="s">
        <v>26</v>
      </c>
      <c r="H42" t="s">
        <v>4164</v>
      </c>
      <c r="J42" t="s">
        <v>42</v>
      </c>
    </row>
    <row r="43" spans="1:10">
      <c r="E43" t="s">
        <v>4165</v>
      </c>
    </row>
    <row r="44" spans="1:10">
      <c r="A44" t="s">
        <v>4166</v>
      </c>
      <c r="B44" t="s">
        <v>433</v>
      </c>
      <c r="C44" t="s">
        <v>276</v>
      </c>
      <c r="D44" t="s">
        <v>4167</v>
      </c>
      <c r="E44" t="s">
        <v>4168</v>
      </c>
      <c r="G44" t="s">
        <v>26</v>
      </c>
      <c r="H44" t="s">
        <v>4169</v>
      </c>
      <c r="J44" t="s">
        <v>42</v>
      </c>
    </row>
    <row r="45" spans="1:10">
      <c r="E45" t="s">
        <v>4170</v>
      </c>
    </row>
    <row r="46" spans="1:10">
      <c r="E46" t="s">
        <v>4171</v>
      </c>
    </row>
    <row r="47" spans="1:10">
      <c r="E47" t="s">
        <v>1549</v>
      </c>
    </row>
    <row r="48" spans="1:10">
      <c r="E48" t="s">
        <v>4172</v>
      </c>
    </row>
    <row r="49" spans="1:10">
      <c r="A49" t="s">
        <v>4173</v>
      </c>
      <c r="B49" t="s">
        <v>433</v>
      </c>
      <c r="C49" t="s">
        <v>276</v>
      </c>
      <c r="D49" t="s">
        <v>4174</v>
      </c>
      <c r="E49" t="s">
        <v>4175</v>
      </c>
      <c r="F49" t="s">
        <v>4176</v>
      </c>
      <c r="G49" t="s">
        <v>521</v>
      </c>
      <c r="H49" t="s">
        <v>4177</v>
      </c>
      <c r="J49" t="s">
        <v>42</v>
      </c>
    </row>
    <row r="50" spans="1:10">
      <c r="E50" t="s">
        <v>4178</v>
      </c>
    </row>
    <row r="51" spans="1:10">
      <c r="E51" t="s">
        <v>1462</v>
      </c>
    </row>
    <row r="52" spans="1:10">
      <c r="A52" t="s">
        <v>4179</v>
      </c>
      <c r="B52" t="s">
        <v>433</v>
      </c>
      <c r="C52" t="s">
        <v>276</v>
      </c>
      <c r="D52" t="s">
        <v>4180</v>
      </c>
      <c r="E52" t="s">
        <v>4181</v>
      </c>
      <c r="G52" t="s">
        <v>26</v>
      </c>
      <c r="H52" t="s">
        <v>4182</v>
      </c>
      <c r="J52" t="s">
        <v>464</v>
      </c>
    </row>
    <row r="53" spans="1:10">
      <c r="E53" t="s">
        <v>4183</v>
      </c>
    </row>
    <row r="54" spans="1:10">
      <c r="E54" t="s">
        <v>4184</v>
      </c>
    </row>
    <row r="55" spans="1:10">
      <c r="A55" t="s">
        <v>4185</v>
      </c>
      <c r="B55" t="s">
        <v>433</v>
      </c>
      <c r="C55" t="s">
        <v>276</v>
      </c>
      <c r="D55" t="s">
        <v>4186</v>
      </c>
      <c r="E55" t="s">
        <v>4187</v>
      </c>
      <c r="G55" t="s">
        <v>26</v>
      </c>
      <c r="H55" t="s">
        <v>4188</v>
      </c>
      <c r="J55" t="s">
        <v>42</v>
      </c>
    </row>
    <row r="56" spans="1:10">
      <c r="E56" t="s">
        <v>4189</v>
      </c>
    </row>
    <row r="57" spans="1:10">
      <c r="A57" t="s">
        <v>4190</v>
      </c>
      <c r="B57" t="s">
        <v>433</v>
      </c>
      <c r="C57" t="s">
        <v>276</v>
      </c>
      <c r="D57" t="s">
        <v>4191</v>
      </c>
      <c r="E57" t="s">
        <v>4192</v>
      </c>
      <c r="G57" t="s">
        <v>26</v>
      </c>
      <c r="H57" t="s">
        <v>4193</v>
      </c>
      <c r="J57" t="s">
        <v>42</v>
      </c>
    </row>
    <row r="58" spans="1:10">
      <c r="E58" t="s">
        <v>4194</v>
      </c>
    </row>
    <row r="59" spans="1:10">
      <c r="A59" t="s">
        <v>4195</v>
      </c>
      <c r="B59" t="s">
        <v>433</v>
      </c>
      <c r="C59" t="s">
        <v>276</v>
      </c>
      <c r="D59" t="s">
        <v>4196</v>
      </c>
      <c r="E59" t="s">
        <v>4197</v>
      </c>
      <c r="G59" t="s">
        <v>26</v>
      </c>
      <c r="H59" t="s">
        <v>4198</v>
      </c>
      <c r="J59" t="s">
        <v>464</v>
      </c>
    </row>
    <row r="60" spans="1:10">
      <c r="E60" t="s">
        <v>4199</v>
      </c>
    </row>
    <row r="61" spans="1:10">
      <c r="A61" t="s">
        <v>4200</v>
      </c>
      <c r="B61" t="s">
        <v>433</v>
      </c>
      <c r="C61" t="s">
        <v>276</v>
      </c>
      <c r="D61" t="s">
        <v>2607</v>
      </c>
      <c r="E61" t="s">
        <v>4201</v>
      </c>
      <c r="G61" t="s">
        <v>26</v>
      </c>
      <c r="H61" t="s">
        <v>4202</v>
      </c>
      <c r="J61" t="s">
        <v>42</v>
      </c>
    </row>
    <row r="62" spans="1:10">
      <c r="E62" t="s">
        <v>2611</v>
      </c>
    </row>
    <row r="63" spans="1:10">
      <c r="A63" t="s">
        <v>4203</v>
      </c>
      <c r="B63" t="s">
        <v>433</v>
      </c>
      <c r="C63" t="s">
        <v>276</v>
      </c>
      <c r="D63" t="s">
        <v>4204</v>
      </c>
      <c r="E63" t="s">
        <v>4205</v>
      </c>
      <c r="G63" t="s">
        <v>26</v>
      </c>
      <c r="H63" t="s">
        <v>4206</v>
      </c>
      <c r="J63" t="s">
        <v>27</v>
      </c>
    </row>
    <row r="64" spans="1:10">
      <c r="E64" t="s">
        <v>4127</v>
      </c>
    </row>
    <row r="65" spans="1:10">
      <c r="E65" t="s">
        <v>4207</v>
      </c>
    </row>
    <row r="66" spans="1:10">
      <c r="A66" t="s">
        <v>4208</v>
      </c>
      <c r="B66" t="s">
        <v>433</v>
      </c>
      <c r="C66" t="s">
        <v>276</v>
      </c>
      <c r="D66" t="s">
        <v>1540</v>
      </c>
      <c r="E66" t="s">
        <v>4209</v>
      </c>
      <c r="G66" t="s">
        <v>26</v>
      </c>
      <c r="H66" t="s">
        <v>4210</v>
      </c>
      <c r="J66" t="s">
        <v>42</v>
      </c>
    </row>
    <row r="67" spans="1:10">
      <c r="E67" t="s">
        <v>1543</v>
      </c>
    </row>
    <row r="68" spans="1:10">
      <c r="A68" t="s">
        <v>4211</v>
      </c>
      <c r="B68" t="s">
        <v>433</v>
      </c>
      <c r="C68" t="s">
        <v>276</v>
      </c>
      <c r="D68" t="s">
        <v>4212</v>
      </c>
      <c r="E68" t="s">
        <v>4094</v>
      </c>
      <c r="F68" t="s">
        <v>1546</v>
      </c>
      <c r="G68" t="s">
        <v>75</v>
      </c>
      <c r="H68" t="s">
        <v>1547</v>
      </c>
      <c r="J68" t="s">
        <v>27</v>
      </c>
    </row>
    <row r="69" spans="1:10">
      <c r="E69" t="s">
        <v>4213</v>
      </c>
    </row>
    <row r="70" spans="1:10">
      <c r="E70" t="s">
        <v>1549</v>
      </c>
    </row>
    <row r="71" spans="1:10">
      <c r="A71" t="s">
        <v>4214</v>
      </c>
      <c r="B71" t="s">
        <v>433</v>
      </c>
      <c r="C71" t="s">
        <v>276</v>
      </c>
      <c r="D71" t="s">
        <v>4215</v>
      </c>
      <c r="E71" t="s">
        <v>4216</v>
      </c>
      <c r="G71" t="s">
        <v>26</v>
      </c>
      <c r="H71" t="s">
        <v>4217</v>
      </c>
      <c r="J71" t="s">
        <v>42</v>
      </c>
    </row>
    <row r="72" spans="1:10">
      <c r="E72" t="s">
        <v>4218</v>
      </c>
    </row>
    <row r="73" spans="1:10">
      <c r="E73" t="s">
        <v>4219</v>
      </c>
    </row>
  </sheetData>
  <pageMargins left="0.75" right="0.75" top="1" bottom="1" header="0.511811023622047" footer="0.511811023622047"/>
  <headerFooter/>
  <ignoredErrors>
    <ignoredError sqref="A1:L73" numberStoredAsText="1"/>
  </ignoredError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1"/>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4220</v>
      </c>
      <c r="B2" t="s">
        <v>433</v>
      </c>
      <c r="C2" t="s">
        <v>281</v>
      </c>
      <c r="D2" t="s">
        <v>4221</v>
      </c>
      <c r="E2" t="s">
        <v>4222</v>
      </c>
      <c r="G2" t="s">
        <v>26</v>
      </c>
      <c r="H2" t="s">
        <v>4223</v>
      </c>
      <c r="J2" t="s">
        <v>27</v>
      </c>
    </row>
    <row r="3" spans="1:12">
      <c r="E3" t="s">
        <v>4224</v>
      </c>
    </row>
    <row r="4" spans="1:12">
      <c r="A4" t="s">
        <v>4225</v>
      </c>
      <c r="B4" t="s">
        <v>433</v>
      </c>
      <c r="C4" t="s">
        <v>281</v>
      </c>
      <c r="D4" t="s">
        <v>4226</v>
      </c>
      <c r="E4" t="s">
        <v>4227</v>
      </c>
      <c r="G4" t="s">
        <v>26</v>
      </c>
      <c r="H4" t="s">
        <v>4228</v>
      </c>
      <c r="J4" t="s">
        <v>42</v>
      </c>
    </row>
    <row r="5" spans="1:12">
      <c r="E5" t="s">
        <v>4229</v>
      </c>
    </row>
    <row r="6" spans="1:12">
      <c r="E6" t="s">
        <v>4230</v>
      </c>
    </row>
    <row r="7" spans="1:12">
      <c r="A7" t="s">
        <v>4231</v>
      </c>
      <c r="B7" t="s">
        <v>433</v>
      </c>
      <c r="C7" t="s">
        <v>281</v>
      </c>
      <c r="D7" t="s">
        <v>4232</v>
      </c>
      <c r="E7" t="s">
        <v>4233</v>
      </c>
      <c r="F7" t="s">
        <v>4234</v>
      </c>
      <c r="G7" t="s">
        <v>26</v>
      </c>
      <c r="H7" t="s">
        <v>4235</v>
      </c>
      <c r="J7" t="s">
        <v>27</v>
      </c>
    </row>
    <row r="8" spans="1:12">
      <c r="E8" t="s">
        <v>4236</v>
      </c>
    </row>
    <row r="9" spans="1:12">
      <c r="E9" t="s">
        <v>4237</v>
      </c>
    </row>
    <row r="10" spans="1:12">
      <c r="E10" t="s">
        <v>1549</v>
      </c>
    </row>
    <row r="11" spans="1:12">
      <c r="A11" t="s">
        <v>4238</v>
      </c>
      <c r="B11" t="s">
        <v>433</v>
      </c>
      <c r="C11" t="s">
        <v>281</v>
      </c>
      <c r="D11" t="s">
        <v>2744</v>
      </c>
      <c r="E11" t="s">
        <v>4233</v>
      </c>
      <c r="F11" t="s">
        <v>4239</v>
      </c>
      <c r="G11" t="s">
        <v>521</v>
      </c>
      <c r="H11" t="s">
        <v>4240</v>
      </c>
      <c r="J11" t="s">
        <v>42</v>
      </c>
    </row>
    <row r="12" spans="1:12">
      <c r="E12" t="s">
        <v>4241</v>
      </c>
    </row>
    <row r="13" spans="1:12">
      <c r="E13" t="s">
        <v>1462</v>
      </c>
    </row>
    <row r="14" spans="1:12">
      <c r="A14" t="s">
        <v>4242</v>
      </c>
      <c r="B14" t="s">
        <v>433</v>
      </c>
      <c r="C14" t="s">
        <v>281</v>
      </c>
      <c r="D14" t="s">
        <v>4243</v>
      </c>
      <c r="E14" t="s">
        <v>4233</v>
      </c>
      <c r="G14" t="s">
        <v>26</v>
      </c>
      <c r="H14" t="s">
        <v>4244</v>
      </c>
      <c r="J14" t="s">
        <v>464</v>
      </c>
    </row>
    <row r="15" spans="1:12">
      <c r="E15" t="s">
        <v>4245</v>
      </c>
    </row>
    <row r="16" spans="1:12">
      <c r="A16" t="s">
        <v>4246</v>
      </c>
      <c r="B16" t="s">
        <v>433</v>
      </c>
      <c r="C16" t="s">
        <v>281</v>
      </c>
      <c r="D16" t="s">
        <v>4247</v>
      </c>
      <c r="E16" t="s">
        <v>4233</v>
      </c>
      <c r="G16" t="s">
        <v>26</v>
      </c>
      <c r="H16" t="s">
        <v>4248</v>
      </c>
      <c r="J16" t="s">
        <v>464</v>
      </c>
    </row>
    <row r="17" spans="1:10">
      <c r="E17" t="s">
        <v>4249</v>
      </c>
    </row>
    <row r="18" spans="1:10">
      <c r="A18" t="s">
        <v>4250</v>
      </c>
      <c r="B18" t="s">
        <v>433</v>
      </c>
      <c r="C18" t="s">
        <v>281</v>
      </c>
      <c r="D18" t="s">
        <v>4251</v>
      </c>
      <c r="E18" t="s">
        <v>4252</v>
      </c>
      <c r="F18" t="s">
        <v>4253</v>
      </c>
      <c r="G18" t="s">
        <v>26</v>
      </c>
      <c r="H18" t="s">
        <v>4254</v>
      </c>
      <c r="J18" t="s">
        <v>27</v>
      </c>
    </row>
    <row r="19" spans="1:10">
      <c r="E19" t="s">
        <v>4255</v>
      </c>
    </row>
    <row r="20" spans="1:10">
      <c r="E20" t="s">
        <v>714</v>
      </c>
    </row>
    <row r="21" spans="1:10">
      <c r="A21" t="s">
        <v>4256</v>
      </c>
      <c r="B21" t="s">
        <v>433</v>
      </c>
      <c r="C21" t="s">
        <v>281</v>
      </c>
      <c r="D21" t="s">
        <v>4257</v>
      </c>
      <c r="E21" t="s">
        <v>4258</v>
      </c>
      <c r="G21" t="s">
        <v>26</v>
      </c>
      <c r="H21" t="s">
        <v>4259</v>
      </c>
      <c r="J21" t="s">
        <v>42</v>
      </c>
    </row>
    <row r="22" spans="1:10">
      <c r="E22" t="s">
        <v>4260</v>
      </c>
    </row>
    <row r="23" spans="1:10">
      <c r="A23" t="s">
        <v>4261</v>
      </c>
      <c r="B23" t="s">
        <v>433</v>
      </c>
      <c r="C23" t="s">
        <v>281</v>
      </c>
      <c r="D23" t="s">
        <v>4262</v>
      </c>
      <c r="E23" t="s">
        <v>4258</v>
      </c>
      <c r="G23" t="s">
        <v>26</v>
      </c>
      <c r="H23" t="s">
        <v>4263</v>
      </c>
      <c r="J23" t="s">
        <v>27</v>
      </c>
    </row>
    <row r="24" spans="1:10">
      <c r="E24" t="s">
        <v>4264</v>
      </c>
    </row>
    <row r="25" spans="1:10">
      <c r="A25" t="s">
        <v>4265</v>
      </c>
      <c r="B25" t="s">
        <v>433</v>
      </c>
      <c r="C25" t="s">
        <v>281</v>
      </c>
      <c r="D25" t="s">
        <v>4266</v>
      </c>
      <c r="E25" t="s">
        <v>4258</v>
      </c>
      <c r="G25" t="s">
        <v>26</v>
      </c>
      <c r="H25" t="s">
        <v>4267</v>
      </c>
      <c r="J25" t="s">
        <v>42</v>
      </c>
    </row>
    <row r="26" spans="1:10">
      <c r="E26" t="s">
        <v>4268</v>
      </c>
    </row>
    <row r="27" spans="1:10">
      <c r="A27" t="s">
        <v>4269</v>
      </c>
      <c r="B27" t="s">
        <v>433</v>
      </c>
      <c r="C27" t="s">
        <v>281</v>
      </c>
      <c r="D27" t="s">
        <v>4270</v>
      </c>
      <c r="E27" t="s">
        <v>4271</v>
      </c>
      <c r="G27" t="s">
        <v>26</v>
      </c>
      <c r="H27" t="s">
        <v>4272</v>
      </c>
      <c r="J27" t="s">
        <v>42</v>
      </c>
    </row>
    <row r="28" spans="1:10">
      <c r="E28" t="s">
        <v>4273</v>
      </c>
    </row>
    <row r="29" spans="1:10">
      <c r="A29" t="s">
        <v>4274</v>
      </c>
      <c r="B29" t="s">
        <v>433</v>
      </c>
      <c r="C29" t="s">
        <v>281</v>
      </c>
      <c r="D29" t="s">
        <v>4275</v>
      </c>
      <c r="E29" t="s">
        <v>4271</v>
      </c>
      <c r="F29" t="s">
        <v>4276</v>
      </c>
      <c r="G29" t="s">
        <v>26</v>
      </c>
      <c r="H29" t="s">
        <v>4277</v>
      </c>
      <c r="J29" t="s">
        <v>42</v>
      </c>
    </row>
    <row r="30" spans="1:10">
      <c r="E30" t="s">
        <v>4278</v>
      </c>
    </row>
    <row r="31" spans="1:10">
      <c r="E31" t="s">
        <v>714</v>
      </c>
    </row>
    <row r="32" spans="1:10">
      <c r="A32" t="s">
        <v>4279</v>
      </c>
      <c r="B32" t="s">
        <v>433</v>
      </c>
      <c r="C32" t="s">
        <v>281</v>
      </c>
      <c r="D32" t="s">
        <v>4280</v>
      </c>
      <c r="E32" t="s">
        <v>4281</v>
      </c>
      <c r="G32" t="s">
        <v>26</v>
      </c>
      <c r="H32" t="s">
        <v>4282</v>
      </c>
      <c r="J32" t="s">
        <v>42</v>
      </c>
    </row>
    <row r="33" spans="1:10">
      <c r="E33" t="s">
        <v>4283</v>
      </c>
    </row>
    <row r="34" spans="1:10">
      <c r="E34" t="s">
        <v>4284</v>
      </c>
    </row>
    <row r="35" spans="1:10">
      <c r="A35" t="s">
        <v>4285</v>
      </c>
      <c r="B35" t="s">
        <v>433</v>
      </c>
      <c r="C35" t="s">
        <v>281</v>
      </c>
      <c r="D35" t="s">
        <v>4286</v>
      </c>
      <c r="E35" t="s">
        <v>4287</v>
      </c>
      <c r="G35" t="s">
        <v>75</v>
      </c>
      <c r="H35" t="s">
        <v>4288</v>
      </c>
      <c r="J35" t="s">
        <v>27</v>
      </c>
    </row>
    <row r="36" spans="1:10">
      <c r="E36" t="s">
        <v>4289</v>
      </c>
    </row>
    <row r="37" spans="1:10">
      <c r="A37" t="s">
        <v>4290</v>
      </c>
      <c r="B37" t="s">
        <v>433</v>
      </c>
      <c r="C37" t="s">
        <v>281</v>
      </c>
      <c r="D37" t="s">
        <v>4291</v>
      </c>
      <c r="E37" t="s">
        <v>4233</v>
      </c>
      <c r="F37" t="s">
        <v>1546</v>
      </c>
      <c r="G37" t="s">
        <v>75</v>
      </c>
      <c r="H37" t="s">
        <v>1547</v>
      </c>
      <c r="J37" t="s">
        <v>27</v>
      </c>
    </row>
    <row r="38" spans="1:10">
      <c r="E38" t="s">
        <v>4292</v>
      </c>
    </row>
    <row r="39" spans="1:10">
      <c r="E39" t="s">
        <v>1549</v>
      </c>
    </row>
    <row r="40" spans="1:10">
      <c r="A40" t="s">
        <v>4293</v>
      </c>
      <c r="B40" t="s">
        <v>433</v>
      </c>
      <c r="C40" t="s">
        <v>281</v>
      </c>
      <c r="D40" t="s">
        <v>4294</v>
      </c>
      <c r="E40" t="s">
        <v>4295</v>
      </c>
      <c r="G40" t="s">
        <v>26</v>
      </c>
      <c r="H40" t="s">
        <v>4296</v>
      </c>
      <c r="J40" t="s">
        <v>42</v>
      </c>
    </row>
    <row r="41" spans="1:10">
      <c r="E41" t="s">
        <v>4297</v>
      </c>
    </row>
  </sheetData>
  <pageMargins left="0.75" right="0.75" top="1" bottom="1" header="0.511811023622047" footer="0.511811023622047"/>
  <headerFooter/>
  <ignoredErrors>
    <ignoredError sqref="A1:L41" numberStoredAsText="1"/>
  </ignoredError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2"/>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4298</v>
      </c>
      <c r="B2" t="s">
        <v>433</v>
      </c>
      <c r="C2" t="s">
        <v>286</v>
      </c>
      <c r="D2" t="s">
        <v>4299</v>
      </c>
      <c r="E2" t="s">
        <v>4300</v>
      </c>
      <c r="G2" t="s">
        <v>26</v>
      </c>
      <c r="H2" t="s">
        <v>4301</v>
      </c>
      <c r="J2" t="s">
        <v>27</v>
      </c>
    </row>
    <row r="3" spans="1:12">
      <c r="E3" t="s">
        <v>4302</v>
      </c>
    </row>
    <row r="4" spans="1:12">
      <c r="E4" t="s">
        <v>4303</v>
      </c>
    </row>
    <row r="5" spans="1:12">
      <c r="E5" t="s">
        <v>4304</v>
      </c>
    </row>
    <row r="6" spans="1:12">
      <c r="E6" t="s">
        <v>4305</v>
      </c>
    </row>
    <row r="7" spans="1:12">
      <c r="E7" t="s">
        <v>4306</v>
      </c>
    </row>
    <row r="8" spans="1:12">
      <c r="E8" t="s">
        <v>4307</v>
      </c>
    </row>
    <row r="9" spans="1:12">
      <c r="E9" t="s">
        <v>4308</v>
      </c>
    </row>
    <row r="10" spans="1:12">
      <c r="E10" t="s">
        <v>818</v>
      </c>
    </row>
    <row r="11" spans="1:12">
      <c r="E11" t="s">
        <v>4309</v>
      </c>
    </row>
    <row r="12" spans="1:12">
      <c r="A12" t="s">
        <v>4310</v>
      </c>
      <c r="B12" t="s">
        <v>433</v>
      </c>
      <c r="C12" t="s">
        <v>286</v>
      </c>
      <c r="D12" t="s">
        <v>4311</v>
      </c>
      <c r="E12" t="s">
        <v>4312</v>
      </c>
      <c r="G12" t="s">
        <v>26</v>
      </c>
      <c r="H12" t="s">
        <v>4313</v>
      </c>
      <c r="J12" t="s">
        <v>27</v>
      </c>
    </row>
    <row r="13" spans="1:12">
      <c r="E13" t="s">
        <v>4302</v>
      </c>
    </row>
    <row r="14" spans="1:12">
      <c r="E14" t="s">
        <v>4303</v>
      </c>
    </row>
    <row r="15" spans="1:12">
      <c r="E15" t="s">
        <v>4314</v>
      </c>
    </row>
    <row r="16" spans="1:12">
      <c r="E16" t="s">
        <v>4315</v>
      </c>
    </row>
    <row r="17" spans="1:10">
      <c r="E17" t="s">
        <v>4316</v>
      </c>
    </row>
    <row r="18" spans="1:10">
      <c r="A18" t="s">
        <v>4317</v>
      </c>
      <c r="B18" t="s">
        <v>433</v>
      </c>
      <c r="C18" t="s">
        <v>286</v>
      </c>
      <c r="D18" t="s">
        <v>4318</v>
      </c>
      <c r="E18" t="s">
        <v>4319</v>
      </c>
      <c r="G18" t="s">
        <v>26</v>
      </c>
      <c r="H18" t="s">
        <v>4320</v>
      </c>
      <c r="J18" t="s">
        <v>27</v>
      </c>
    </row>
    <row r="19" spans="1:10">
      <c r="E19" t="s">
        <v>4321</v>
      </c>
    </row>
    <row r="20" spans="1:10">
      <c r="E20" t="s">
        <v>4322</v>
      </c>
    </row>
    <row r="21" spans="1:10">
      <c r="E21" t="s">
        <v>4323</v>
      </c>
    </row>
    <row r="22" spans="1:10">
      <c r="E22" t="s">
        <v>4324</v>
      </c>
    </row>
    <row r="23" spans="1:10">
      <c r="E23" t="s">
        <v>4325</v>
      </c>
    </row>
    <row r="24" spans="1:10">
      <c r="E24" t="s">
        <v>4326</v>
      </c>
    </row>
    <row r="25" spans="1:10">
      <c r="E25" t="s">
        <v>4327</v>
      </c>
    </row>
    <row r="26" spans="1:10">
      <c r="A26" t="s">
        <v>4328</v>
      </c>
      <c r="B26" t="s">
        <v>433</v>
      </c>
      <c r="C26" t="s">
        <v>286</v>
      </c>
      <c r="D26" t="s">
        <v>4329</v>
      </c>
      <c r="E26" t="s">
        <v>4330</v>
      </c>
      <c r="G26" t="s">
        <v>26</v>
      </c>
      <c r="H26" t="s">
        <v>4331</v>
      </c>
      <c r="J26" t="s">
        <v>27</v>
      </c>
    </row>
    <row r="27" spans="1:10">
      <c r="E27" t="s">
        <v>4332</v>
      </c>
    </row>
    <row r="28" spans="1:10">
      <c r="E28" t="s">
        <v>4333</v>
      </c>
    </row>
    <row r="29" spans="1:10">
      <c r="E29" t="s">
        <v>4334</v>
      </c>
    </row>
    <row r="30" spans="1:10">
      <c r="E30" t="s">
        <v>4335</v>
      </c>
    </row>
    <row r="31" spans="1:10">
      <c r="E31" t="s">
        <v>4336</v>
      </c>
    </row>
    <row r="32" spans="1:10">
      <c r="E32" t="s">
        <v>4337</v>
      </c>
    </row>
    <row r="33" spans="1:10">
      <c r="A33" t="s">
        <v>4338</v>
      </c>
      <c r="B33" t="s">
        <v>433</v>
      </c>
      <c r="C33" t="s">
        <v>286</v>
      </c>
      <c r="D33" t="s">
        <v>4339</v>
      </c>
      <c r="E33" t="s">
        <v>4340</v>
      </c>
      <c r="G33" t="s">
        <v>26</v>
      </c>
      <c r="H33" t="s">
        <v>4341</v>
      </c>
      <c r="J33" t="s">
        <v>42</v>
      </c>
    </row>
    <row r="34" spans="1:10">
      <c r="E34" t="s">
        <v>4342</v>
      </c>
    </row>
    <row r="35" spans="1:10">
      <c r="E35" t="s">
        <v>4343</v>
      </c>
    </row>
    <row r="36" spans="1:10">
      <c r="E36" t="s">
        <v>4344</v>
      </c>
    </row>
    <row r="37" spans="1:10">
      <c r="E37" t="s">
        <v>4345</v>
      </c>
    </row>
    <row r="38" spans="1:10">
      <c r="E38" t="s">
        <v>4346</v>
      </c>
    </row>
    <row r="39" spans="1:10">
      <c r="A39" t="s">
        <v>4347</v>
      </c>
      <c r="B39" t="s">
        <v>433</v>
      </c>
      <c r="C39" t="s">
        <v>286</v>
      </c>
      <c r="D39" t="s">
        <v>4348</v>
      </c>
      <c r="E39" t="s">
        <v>4300</v>
      </c>
      <c r="G39" t="s">
        <v>521</v>
      </c>
      <c r="H39" t="s">
        <v>4349</v>
      </c>
      <c r="J39" t="s">
        <v>27</v>
      </c>
    </row>
    <row r="40" spans="1:10">
      <c r="E40" t="s">
        <v>4302</v>
      </c>
    </row>
    <row r="41" spans="1:10">
      <c r="E41" t="s">
        <v>4303</v>
      </c>
    </row>
    <row r="42" spans="1:10">
      <c r="E42" t="s">
        <v>4350</v>
      </c>
    </row>
  </sheetData>
  <pageMargins left="0.75" right="0.75" top="1" bottom="1" header="0.511811023622047" footer="0.511811023622047"/>
  <headerFooter/>
  <ignoredErrors>
    <ignoredError sqref="A1:L42" numberStoredAsText="1"/>
  </ignoredError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7"/>
  <sheetViews>
    <sheetView workbookViewId="0">
      <selection activeCell="A1" sqref="A1"/>
    </sheetView>
  </sheetViews>
  <sheetFormatPr defaultColWidth="9" defaultRowHeight="15.6"/>
  <sheetData>
    <row r="1" spans="1:12">
      <c r="A1" t="s">
        <v>417</v>
      </c>
      <c r="B1" t="s">
        <v>418</v>
      </c>
      <c r="C1" t="s">
        <v>419</v>
      </c>
      <c r="D1" t="s">
        <v>420</v>
      </c>
      <c r="E1" t="s">
        <v>421</v>
      </c>
      <c r="F1" t="s">
        <v>422</v>
      </c>
      <c r="G1" t="s">
        <v>423</v>
      </c>
      <c r="H1" t="s">
        <v>424</v>
      </c>
      <c r="I1" t="s">
        <v>425</v>
      </c>
      <c r="J1" t="s">
        <v>426</v>
      </c>
      <c r="K1" t="s">
        <v>428</v>
      </c>
      <c r="L1" t="s">
        <v>1550</v>
      </c>
    </row>
    <row r="2" spans="1:12">
      <c r="A2" t="s">
        <v>4351</v>
      </c>
      <c r="B2" t="s">
        <v>433</v>
      </c>
      <c r="C2" t="s">
        <v>290</v>
      </c>
      <c r="D2" t="s">
        <v>4352</v>
      </c>
      <c r="E2" t="s">
        <v>4353</v>
      </c>
      <c r="G2" t="s">
        <v>26</v>
      </c>
      <c r="H2" t="s">
        <v>4354</v>
      </c>
      <c r="J2" t="s">
        <v>27</v>
      </c>
    </row>
    <row r="3" spans="1:12">
      <c r="E3" t="s">
        <v>4355</v>
      </c>
    </row>
    <row r="4" spans="1:12">
      <c r="E4" t="s">
        <v>4356</v>
      </c>
    </row>
    <row r="5" spans="1:12">
      <c r="E5" t="s">
        <v>4357</v>
      </c>
    </row>
    <row r="6" spans="1:12">
      <c r="E6" t="s">
        <v>4358</v>
      </c>
    </row>
    <row r="7" spans="1:12">
      <c r="E7" t="s">
        <v>4359</v>
      </c>
    </row>
    <row r="8" spans="1:12">
      <c r="E8" t="s">
        <v>4360</v>
      </c>
    </row>
    <row r="9" spans="1:12">
      <c r="E9" t="s">
        <v>4361</v>
      </c>
    </row>
    <row r="10" spans="1:12">
      <c r="E10" t="s">
        <v>4362</v>
      </c>
    </row>
    <row r="11" spans="1:12">
      <c r="A11" t="s">
        <v>4363</v>
      </c>
      <c r="B11" t="s">
        <v>433</v>
      </c>
      <c r="C11" t="s">
        <v>290</v>
      </c>
      <c r="D11" t="s">
        <v>4364</v>
      </c>
      <c r="E11" t="s">
        <v>4365</v>
      </c>
      <c r="G11" t="s">
        <v>26</v>
      </c>
      <c r="H11" t="s">
        <v>4366</v>
      </c>
      <c r="J11" t="s">
        <v>27</v>
      </c>
    </row>
    <row r="12" spans="1:12">
      <c r="E12" t="s">
        <v>4367</v>
      </c>
    </row>
    <row r="13" spans="1:12">
      <c r="E13" t="s">
        <v>4368</v>
      </c>
    </row>
    <row r="14" spans="1:12">
      <c r="E14" t="s">
        <v>4369</v>
      </c>
    </row>
    <row r="15" spans="1:12">
      <c r="E15" t="s">
        <v>4370</v>
      </c>
    </row>
    <row r="16" spans="1:12">
      <c r="E16" t="s">
        <v>4371</v>
      </c>
    </row>
    <row r="17" spans="1:10">
      <c r="A17" t="s">
        <v>4372</v>
      </c>
      <c r="B17" t="s">
        <v>433</v>
      </c>
      <c r="C17" t="s">
        <v>290</v>
      </c>
      <c r="D17" t="s">
        <v>4373</v>
      </c>
      <c r="E17" t="s">
        <v>4365</v>
      </c>
      <c r="G17" t="s">
        <v>26</v>
      </c>
      <c r="H17" t="s">
        <v>4374</v>
      </c>
      <c r="J17" t="s">
        <v>27</v>
      </c>
    </row>
    <row r="18" spans="1:10">
      <c r="E18" t="s">
        <v>4375</v>
      </c>
    </row>
    <row r="19" spans="1:10">
      <c r="E19" t="s">
        <v>4376</v>
      </c>
    </row>
    <row r="20" spans="1:10">
      <c r="E20" t="s">
        <v>4377</v>
      </c>
    </row>
    <row r="21" spans="1:10">
      <c r="E21" t="s">
        <v>4378</v>
      </c>
    </row>
    <row r="22" spans="1:10">
      <c r="E22" t="s">
        <v>4379</v>
      </c>
    </row>
    <row r="23" spans="1:10">
      <c r="A23" t="s">
        <v>4380</v>
      </c>
      <c r="B23" t="s">
        <v>433</v>
      </c>
      <c r="C23" t="s">
        <v>290</v>
      </c>
      <c r="D23" t="s">
        <v>4381</v>
      </c>
      <c r="E23" t="s">
        <v>4365</v>
      </c>
      <c r="G23" t="s">
        <v>26</v>
      </c>
      <c r="H23" t="s">
        <v>4382</v>
      </c>
      <c r="J23" t="s">
        <v>27</v>
      </c>
    </row>
    <row r="24" spans="1:10">
      <c r="E24" t="s">
        <v>4383</v>
      </c>
    </row>
    <row r="25" spans="1:10">
      <c r="E25" t="s">
        <v>4384</v>
      </c>
    </row>
    <row r="26" spans="1:10">
      <c r="E26" t="s">
        <v>4385</v>
      </c>
    </row>
    <row r="27" spans="1:10">
      <c r="E27" t="s">
        <v>4386</v>
      </c>
    </row>
    <row r="28" spans="1:10">
      <c r="E28" t="s">
        <v>4387</v>
      </c>
    </row>
    <row r="29" spans="1:10">
      <c r="A29" t="s">
        <v>4388</v>
      </c>
      <c r="B29" t="s">
        <v>433</v>
      </c>
      <c r="C29" t="s">
        <v>290</v>
      </c>
      <c r="D29" t="s">
        <v>4389</v>
      </c>
      <c r="E29" t="s">
        <v>4353</v>
      </c>
      <c r="G29" t="s">
        <v>26</v>
      </c>
      <c r="H29" t="s">
        <v>4390</v>
      </c>
      <c r="J29" t="s">
        <v>27</v>
      </c>
    </row>
    <row r="30" spans="1:10">
      <c r="E30" t="s">
        <v>4391</v>
      </c>
    </row>
    <row r="31" spans="1:10">
      <c r="E31" t="s">
        <v>4392</v>
      </c>
    </row>
    <row r="32" spans="1:10">
      <c r="E32" t="s">
        <v>4393</v>
      </c>
    </row>
    <row r="33" spans="1:10">
      <c r="E33" t="s">
        <v>4394</v>
      </c>
    </row>
    <row r="34" spans="1:10">
      <c r="E34" t="s">
        <v>4395</v>
      </c>
    </row>
    <row r="35" spans="1:10">
      <c r="E35" t="s">
        <v>4387</v>
      </c>
    </row>
    <row r="36" spans="1:10">
      <c r="A36" t="s">
        <v>4396</v>
      </c>
      <c r="B36" t="s">
        <v>433</v>
      </c>
      <c r="C36" t="s">
        <v>290</v>
      </c>
      <c r="D36" t="s">
        <v>4397</v>
      </c>
      <c r="E36" t="s">
        <v>4398</v>
      </c>
      <c r="G36" t="s">
        <v>521</v>
      </c>
      <c r="H36" t="s">
        <v>4399</v>
      </c>
      <c r="J36" t="s">
        <v>27</v>
      </c>
    </row>
    <row r="37" spans="1:10">
      <c r="E37" t="s">
        <v>4400</v>
      </c>
    </row>
  </sheetData>
  <pageMargins left="0.75" right="0.75" top="1" bottom="1" header="0.511811023622047" footer="0.511811023622047"/>
  <headerFooter/>
  <ignoredErrors>
    <ignoredError sqref="A1:L37" numberStoredAsText="1"/>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工作表</vt:lpstr>
      </vt:variant>
      <vt:variant>
        <vt:i4>31</vt:i4>
      </vt:variant>
    </vt:vector>
  </HeadingPairs>
  <TitlesOfParts>
    <vt:vector size="31" baseType="lpstr">
      <vt:lpstr>Read Me</vt:lpstr>
      <vt:lpstr>Test Scenarios</vt:lpstr>
      <vt:lpstr>RTM</vt:lpstr>
      <vt:lpstr>Login and Store Sync</vt:lpstr>
      <vt:lpstr>Product Management</vt:lpstr>
      <vt:lpstr>Customer Dashboard</vt:lpstr>
      <vt:lpstr>CommerceHub AI User Dashboard</vt:lpstr>
      <vt:lpstr>Customer Management</vt:lpstr>
      <vt:lpstr>Add New Customer</vt:lpstr>
      <vt:lpstr>Connected Stores</vt:lpstr>
      <vt:lpstr>Connect Store - Platform</vt:lpstr>
      <vt:lpstr>Connect Store - Details</vt:lpstr>
      <vt:lpstr>Connect Store - Verify</vt:lpstr>
      <vt:lpstr>Connect Store - Complete</vt:lpstr>
      <vt:lpstr>User Management</vt:lpstr>
      <vt:lpstr>Invite Team Member</vt:lpstr>
      <vt:lpstr>Industry Rules Configuration</vt:lpstr>
      <vt:lpstr>Create Industry Rule Template</vt:lpstr>
      <vt:lpstr>Billing &amp; Subscriptions</vt:lpstr>
      <vt:lpstr>Pricing Management</vt:lpstr>
      <vt:lpstr>Create New Price Rule</vt:lpstr>
      <vt:lpstr>Cart &amp; Checkout Configuration</vt:lpstr>
      <vt:lpstr>Payment Gateway Management</vt:lpstr>
      <vt:lpstr>Merchandising &amp; Discovery</vt:lpstr>
      <vt:lpstr>Rules Engine</vt:lpstr>
      <vt:lpstr>Create New Rule</vt:lpstr>
      <vt:lpstr>B2B Customer Management</vt:lpstr>
      <vt:lpstr>Add New Company</vt:lpstr>
      <vt:lpstr>Platform Configuration</vt:lpstr>
      <vt:lpstr>Customer E2E User Journey</vt:lpstr>
      <vt:lpstr>Admin E2E User Journey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Vijay M</cp:lastModifiedBy>
  <cp:revision>0</cp:revision>
  <dcterms:created xsi:type="dcterms:W3CDTF">2026-07-09T11:20:00Z</dcterms:created>
  <dcterms:modified xsi:type="dcterms:W3CDTF">2026-07-17T11:42:27Z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B68CB5EE3E9D4054BD73E3767356A6D8_12</vt:lpwstr>
  </property>
  <property fmtid="{D5CDD505-2E9C-101B-9397-08002B2CF9AE}" pid="4" name="KSOProductBuildVer">
    <vt:lpwstr>1033-12.1.0.27458</vt:lpwstr>
  </property>
</Properties>
</file>